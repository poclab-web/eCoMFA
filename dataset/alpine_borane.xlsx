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_poclab/PycharmProjects/CoMFA_model/sampledata_local/"/>
    </mc:Choice>
  </mc:AlternateContent>
  <xr:revisionPtr revIDLastSave="0" documentId="13_ncr:1_{B7AE716A-AD3B-1140-8090-5FF7DCE9DB79}" xr6:coauthVersionLast="47" xr6:coauthVersionMax="47" xr10:uidLastSave="{00000000-0000-0000-0000-000000000000}"/>
  <bookViews>
    <workbookView xWindow="10200" yWindow="4560" windowWidth="19860" windowHeight="18520" tabRatio="500" xr2:uid="{00000000-000D-0000-FFFF-FFFF00000000}"/>
  </bookViews>
  <sheets>
    <sheet name="シート1 - Ru_cat_1127" sheetId="1" r:id="rId1"/>
  </sheets>
  <definedNames>
    <definedName name="_Hlk161015579" localSheetId="0">'シート1 - Ru_cat_1127'!#REF!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5" i="1" l="1"/>
  <c r="E87" i="1"/>
  <c r="E86" i="1"/>
  <c r="E85" i="1"/>
  <c r="E84" i="1"/>
  <c r="E83" i="1"/>
  <c r="E82" i="1"/>
  <c r="E81" i="1"/>
  <c r="E80" i="1"/>
  <c r="E79" i="1"/>
  <c r="E78" i="1"/>
  <c r="E94" i="1"/>
  <c r="E103" i="1"/>
  <c r="E93" i="1"/>
  <c r="E104" i="1"/>
  <c r="E88" i="1"/>
  <c r="E89" i="1"/>
  <c r="E90" i="1"/>
  <c r="E91" i="1"/>
  <c r="E92" i="1"/>
  <c r="E95" i="1"/>
  <c r="E96" i="1"/>
  <c r="E97" i="1"/>
  <c r="E98" i="1"/>
  <c r="E99" i="1"/>
  <c r="E100" i="1"/>
  <c r="E101" i="1"/>
  <c r="E102" i="1"/>
  <c r="E39" i="1"/>
  <c r="E38" i="1"/>
  <c r="E37" i="1"/>
  <c r="E36" i="1"/>
  <c r="E35" i="1"/>
  <c r="E71" i="1"/>
  <c r="E72" i="1"/>
  <c r="E73" i="1"/>
  <c r="E74" i="1"/>
  <c r="E75" i="1"/>
  <c r="E76" i="1"/>
  <c r="E77" i="1"/>
  <c r="E60" i="1"/>
  <c r="E61" i="1"/>
  <c r="E62" i="1"/>
  <c r="E63" i="1"/>
  <c r="E64" i="1"/>
  <c r="E65" i="1"/>
  <c r="E66" i="1"/>
  <c r="E67" i="1"/>
  <c r="E68" i="1"/>
  <c r="E69" i="1"/>
  <c r="E70" i="1"/>
  <c r="E53" i="1"/>
  <c r="E54" i="1"/>
  <c r="E55" i="1"/>
  <c r="E56" i="1"/>
  <c r="E57" i="1"/>
  <c r="E58" i="1"/>
  <c r="E59" i="1"/>
  <c r="E52" i="1"/>
  <c r="E49" i="1"/>
  <c r="E50" i="1"/>
  <c r="E51" i="1"/>
  <c r="E48" i="1"/>
  <c r="E47" i="1"/>
  <c r="E46" i="1"/>
  <c r="E41" i="1"/>
  <c r="E42" i="1"/>
  <c r="E43" i="1"/>
  <c r="E44" i="1"/>
  <c r="E4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0" i="1"/>
  <c r="E2" i="1"/>
</calcChain>
</file>

<file path=xl/sharedStrings.xml><?xml version="1.0" encoding="utf-8"?>
<sst xmlns="http://schemas.openxmlformats.org/spreadsheetml/2006/main" count="661" uniqueCount="367">
  <si>
    <t>entry</t>
  </si>
  <si>
    <t>SMILES</t>
  </si>
  <si>
    <t>ee.</t>
  </si>
  <si>
    <t>er.</t>
  </si>
  <si>
    <t>temperature</t>
  </si>
  <si>
    <t>location</t>
  </si>
  <si>
    <t>Reference url</t>
  </si>
  <si>
    <t>citation</t>
  </si>
  <si>
    <t>note</t>
  </si>
  <si>
    <t>1</t>
    <phoneticPr fontId="4"/>
  </si>
  <si>
    <t>https://pubs.acs.org/doi/pdf/10.1021/jo00262a036</t>
    <phoneticPr fontId="4"/>
  </si>
  <si>
    <r>
      <t>M. M. Midland, J. I. McLoughlin, J. Gabriel, </t>
    </r>
    <r>
      <rPr>
        <i/>
        <sz val="10"/>
        <color rgb="FF222222"/>
        <rFont val="Arial"/>
        <family val="2"/>
      </rPr>
      <t xml:space="preserve"> J. Org. Chem.</t>
    </r>
    <r>
      <rPr>
        <sz val="10"/>
        <color rgb="FF222222"/>
        <rFont val="Arial"/>
        <family val="2"/>
      </rPr>
      <t> </t>
    </r>
    <r>
      <rPr>
        <b/>
        <sz val="10"/>
        <color rgb="FF222222"/>
        <rFont val="Arial"/>
        <family val="2"/>
      </rPr>
      <t>1989</t>
    </r>
    <r>
      <rPr>
        <sz val="10"/>
        <color rgb="FF222222"/>
        <rFont val="Arial"/>
        <family val="2"/>
      </rPr>
      <t xml:space="preserve">, </t>
    </r>
    <r>
      <rPr>
        <i/>
        <sz val="10"/>
        <color rgb="FF222222"/>
        <rFont val="Arial"/>
        <family val="2"/>
      </rPr>
      <t>54</t>
    </r>
    <r>
      <rPr>
        <sz val="10"/>
        <color rgb="FF222222"/>
        <rFont val="Arial"/>
        <family val="2"/>
      </rPr>
      <t>, 159-165.</t>
    </r>
    <phoneticPr fontId="4"/>
  </si>
  <si>
    <t>table2</t>
    <phoneticPr fontId="4"/>
  </si>
  <si>
    <t>https://doi.org/10.1021/cr00097a010</t>
  </si>
  <si>
    <t>Acc. Chem. Res. 1992, 25, 1, 16–24</t>
    <phoneticPr fontId="4"/>
  </si>
  <si>
    <t>https://doi.org/10.1021/jo00209a008</t>
    <phoneticPr fontId="4"/>
  </si>
  <si>
    <t>2-butanone</t>
    <phoneticPr fontId="4"/>
  </si>
  <si>
    <t>C(=O)(CC)C</t>
    <phoneticPr fontId="4"/>
  </si>
  <si>
    <t>43</t>
  </si>
  <si>
    <t>C(=O)(C(C)C)C</t>
    <phoneticPr fontId="4"/>
  </si>
  <si>
    <t>62</t>
  </si>
  <si>
    <t>298</t>
  </si>
  <si>
    <t>298</t>
    <phoneticPr fontId="4"/>
  </si>
  <si>
    <t>table1</t>
    <phoneticPr fontId="4"/>
  </si>
  <si>
    <t>48</t>
  </si>
  <si>
    <t>87</t>
  </si>
  <si>
    <t>3-methyl-2-butanone</t>
    <phoneticPr fontId="4"/>
  </si>
  <si>
    <t>2-octanone</t>
    <phoneticPr fontId="4"/>
  </si>
  <si>
    <t>acetophenone</t>
    <phoneticPr fontId="4"/>
  </si>
  <si>
    <t>-43</t>
    <phoneticPr fontId="4"/>
  </si>
  <si>
    <t>-62</t>
    <phoneticPr fontId="4"/>
  </si>
  <si>
    <t>-48</t>
    <phoneticPr fontId="4"/>
  </si>
  <si>
    <t>-87</t>
    <phoneticPr fontId="4"/>
  </si>
  <si>
    <t>3-buten-2-one</t>
    <phoneticPr fontId="4"/>
  </si>
  <si>
    <t>65</t>
  </si>
  <si>
    <t>-65</t>
    <phoneticPr fontId="4"/>
  </si>
  <si>
    <t>-64</t>
    <phoneticPr fontId="4"/>
  </si>
  <si>
    <t>-19.6</t>
    <phoneticPr fontId="4"/>
  </si>
  <si>
    <t>-97</t>
    <phoneticPr fontId="4"/>
  </si>
  <si>
    <t>1-acetyl-1-cyclohexenone</t>
    <phoneticPr fontId="4"/>
  </si>
  <si>
    <t>trans-4-phenyl-3-buten-2-one</t>
    <phoneticPr fontId="4"/>
  </si>
  <si>
    <t>3-methyl-2-cyclohexenone</t>
    <phoneticPr fontId="4"/>
  </si>
  <si>
    <t>3-butyn-2-one</t>
    <phoneticPr fontId="4"/>
  </si>
  <si>
    <t>table3</t>
    <phoneticPr fontId="4"/>
  </si>
  <si>
    <t>4-methyl-1-pentyn-3-one</t>
    <phoneticPr fontId="4"/>
  </si>
  <si>
    <t>4-phenyl-3-butyn-2-one</t>
    <phoneticPr fontId="4"/>
  </si>
  <si>
    <t>table4</t>
    <phoneticPr fontId="4"/>
  </si>
  <si>
    <t>a-chloroacetophenone</t>
    <phoneticPr fontId="4"/>
  </si>
  <si>
    <t xml:space="preserve">a- bromoacetophenone </t>
    <phoneticPr fontId="4"/>
  </si>
  <si>
    <t>a-iodoacetophenone</t>
    <phoneticPr fontId="4"/>
  </si>
  <si>
    <t>apdibromoacetophenone"</t>
    <phoneticPr fontId="4"/>
  </si>
  <si>
    <t>a- bromo-p-cyanoacetophenone"</t>
    <phoneticPr fontId="4"/>
  </si>
  <si>
    <t>a- bromo-2'-acetonaphthone</t>
    <phoneticPr fontId="4"/>
  </si>
  <si>
    <t>a,a,a-trifluoroacetophenone</t>
    <phoneticPr fontId="4"/>
  </si>
  <si>
    <t>l-bromo-3-methyl-2-butano</t>
    <phoneticPr fontId="4"/>
  </si>
  <si>
    <t>79</t>
  </si>
  <si>
    <t>79</t>
    <phoneticPr fontId="4"/>
  </si>
  <si>
    <t>99</t>
    <phoneticPr fontId="4"/>
  </si>
  <si>
    <t>98</t>
    <phoneticPr fontId="4"/>
  </si>
  <si>
    <t>96.2</t>
    <phoneticPr fontId="4"/>
  </si>
  <si>
    <t>93</t>
  </si>
  <si>
    <t>93</t>
    <phoneticPr fontId="4"/>
  </si>
  <si>
    <t>96</t>
    <phoneticPr fontId="4"/>
  </si>
  <si>
    <t>90</t>
  </si>
  <si>
    <t>90</t>
    <phoneticPr fontId="4"/>
  </si>
  <si>
    <t>35</t>
  </si>
  <si>
    <t>35</t>
    <phoneticPr fontId="4"/>
  </si>
  <si>
    <t>66</t>
    <phoneticPr fontId="4"/>
  </si>
  <si>
    <t>-98</t>
    <phoneticPr fontId="4"/>
  </si>
  <si>
    <t>table5</t>
    <phoneticPr fontId="4"/>
  </si>
  <si>
    <t>86</t>
  </si>
  <si>
    <t>83</t>
  </si>
  <si>
    <t>89</t>
  </si>
  <si>
    <t>78</t>
  </si>
  <si>
    <t>92</t>
  </si>
  <si>
    <t>92</t>
    <phoneticPr fontId="4"/>
  </si>
  <si>
    <t>100</t>
    <phoneticPr fontId="4"/>
  </si>
  <si>
    <t>11</t>
  </si>
  <si>
    <t>11</t>
    <phoneticPr fontId="4"/>
  </si>
  <si>
    <t>82</t>
  </si>
  <si>
    <t>-86</t>
    <phoneticPr fontId="4"/>
  </si>
  <si>
    <t>-83</t>
    <phoneticPr fontId="4"/>
  </si>
  <si>
    <t>-78</t>
    <phoneticPr fontId="4"/>
  </si>
  <si>
    <t>-92</t>
    <phoneticPr fontId="4"/>
  </si>
  <si>
    <t>-100</t>
    <phoneticPr fontId="4"/>
  </si>
  <si>
    <t>-96</t>
    <phoneticPr fontId="4"/>
  </si>
  <si>
    <t>-82</t>
    <phoneticPr fontId="4"/>
  </si>
  <si>
    <t>methyl pyruvate</t>
    <phoneticPr fontId="4"/>
  </si>
  <si>
    <t xml:space="preserve">isopropyl pyruvate </t>
  </si>
  <si>
    <t xml:space="preserve">tert-butyl pyruvate </t>
  </si>
  <si>
    <t xml:space="preserve">ethyl 2-oxopentanoate </t>
  </si>
  <si>
    <t xml:space="preserve">tert-butyl 2-oxopentanoate </t>
  </si>
  <si>
    <t xml:space="preserve">methyl 3-methyl-2-oxobutanoate </t>
  </si>
  <si>
    <t xml:space="preserve">ethyl 4-methyl-2-oxopentanoate </t>
  </si>
  <si>
    <t xml:space="preserve">tert-butyl 4-methyl-2-oxopentanoate </t>
  </si>
  <si>
    <t xml:space="preserve">methyl benzoylformate </t>
  </si>
  <si>
    <t xml:space="preserve">isopropyl benzoylformate </t>
  </si>
  <si>
    <t xml:space="preserve">tert-butyl benzoylformate </t>
  </si>
  <si>
    <t>C(=O)(CCCCCC)C</t>
    <phoneticPr fontId="4"/>
  </si>
  <si>
    <t>C(=O)(c1ccccc1)C</t>
    <phoneticPr fontId="4"/>
  </si>
  <si>
    <t>300</t>
  </si>
  <si>
    <t>301</t>
  </si>
  <si>
    <t>302</t>
  </si>
  <si>
    <t>303</t>
  </si>
  <si>
    <t>304</t>
  </si>
  <si>
    <t>305</t>
  </si>
  <si>
    <t>C(=O)(C=C)C</t>
    <phoneticPr fontId="4"/>
  </si>
  <si>
    <t>C(=O)(C1=CCCCC1)C</t>
    <phoneticPr fontId="4"/>
  </si>
  <si>
    <t>C1(=O)C=C(C)CCC1</t>
    <phoneticPr fontId="4"/>
  </si>
  <si>
    <t>CC(/C=C/C1=CC=CC=C1)=O</t>
    <phoneticPr fontId="4"/>
  </si>
  <si>
    <t>C(=O)(C#C)C</t>
    <phoneticPr fontId="4"/>
  </si>
  <si>
    <t>C(=O)(C#C)C(C)C</t>
    <phoneticPr fontId="4"/>
  </si>
  <si>
    <t>C(=O)(C#Cc1ccccc1)C</t>
    <phoneticPr fontId="4"/>
  </si>
  <si>
    <t>C(=O)(CCl)c1ccccc1</t>
    <phoneticPr fontId="4"/>
  </si>
  <si>
    <t>C(=O)(CBr)c1ccccc1</t>
    <phoneticPr fontId="4"/>
  </si>
  <si>
    <t>C(=O)(CI)c1ccccc1</t>
    <phoneticPr fontId="4"/>
  </si>
  <si>
    <t>C(=O)(CBr)c1ccc(Br)cc1</t>
    <phoneticPr fontId="4"/>
  </si>
  <si>
    <t>C(=O)(C(=O)OC)C</t>
    <phoneticPr fontId="4"/>
  </si>
  <si>
    <t xml:space="preserve">ethyl-pyruvate </t>
    <phoneticPr fontId="4"/>
  </si>
  <si>
    <t>C(=O)(C(=O)OCC)C</t>
    <phoneticPr fontId="4"/>
  </si>
  <si>
    <t>C(=O)(C(=O)OC(C)C)C</t>
    <phoneticPr fontId="4"/>
  </si>
  <si>
    <t>C(=O)(C(=O)OC(C)(C)C)C</t>
    <phoneticPr fontId="4"/>
  </si>
  <si>
    <t>3-penten-2-one</t>
    <phoneticPr fontId="4"/>
  </si>
  <si>
    <t>trans-en</t>
    <phoneticPr fontId="4"/>
  </si>
  <si>
    <t>38</t>
  </si>
  <si>
    <t>49</t>
  </si>
  <si>
    <t>2-cyclohexenone</t>
    <phoneticPr fontId="4"/>
  </si>
  <si>
    <t>3-pyridyl methyl ketone</t>
    <phoneticPr fontId="4"/>
  </si>
  <si>
    <t>a-tetralone</t>
  </si>
  <si>
    <t>cyclopropyl methyl ketone</t>
    <phoneticPr fontId="4"/>
  </si>
  <si>
    <t>34</t>
  </si>
  <si>
    <t>52</t>
  </si>
  <si>
    <t>-49</t>
    <phoneticPr fontId="4"/>
  </si>
  <si>
    <t>-38</t>
    <phoneticPr fontId="4"/>
  </si>
  <si>
    <t>-34</t>
    <phoneticPr fontId="4"/>
  </si>
  <si>
    <t>-90</t>
    <phoneticPr fontId="4"/>
  </si>
  <si>
    <t>-52</t>
    <phoneticPr fontId="4"/>
  </si>
  <si>
    <t>18</t>
  </si>
  <si>
    <t>-75</t>
    <phoneticPr fontId="4"/>
  </si>
  <si>
    <t>-84</t>
    <phoneticPr fontId="4"/>
  </si>
  <si>
    <t>butanal</t>
    <phoneticPr fontId="4"/>
  </si>
  <si>
    <t xml:space="preserve">2,2-dimethylpropanal </t>
    <phoneticPr fontId="4"/>
  </si>
  <si>
    <t xml:space="preserve">cinnamaldehyde </t>
    <phoneticPr fontId="4"/>
  </si>
  <si>
    <t>benzaldehyde</t>
    <phoneticPr fontId="4"/>
  </si>
  <si>
    <t>p-chlorobenzaldehyde</t>
    <phoneticPr fontId="4"/>
  </si>
  <si>
    <t xml:space="preserve">p-nitrobenzaldehyde </t>
    <phoneticPr fontId="4"/>
  </si>
  <si>
    <t>p-methoxybenzaldehyde</t>
    <phoneticPr fontId="4"/>
  </si>
  <si>
    <t>table2</t>
    <phoneticPr fontId="4"/>
  </si>
  <si>
    <t>C(=O)(CBr)c1ccc(C#N)cc1</t>
    <phoneticPr fontId="4"/>
  </si>
  <si>
    <t>C(=O)(CBr)c1ccc2ccccc2c1</t>
    <phoneticPr fontId="4"/>
  </si>
  <si>
    <t>C(=O)(C(F)(F)F)c1ccccc1</t>
    <phoneticPr fontId="4"/>
  </si>
  <si>
    <t>C(=O)(CBr)C(C)C</t>
    <phoneticPr fontId="4"/>
  </si>
  <si>
    <t xml:space="preserve">tert-butyl 2-oxobutyrate </t>
    <phoneticPr fontId="4"/>
  </si>
  <si>
    <t>C(=O)(C(=O)OC(C)(C)C)CC</t>
    <phoneticPr fontId="4"/>
  </si>
  <si>
    <t>CC(/C=C/C)=O</t>
    <phoneticPr fontId="4"/>
  </si>
  <si>
    <t>CC(/C=C/C1=C(C)CCCC1(C)C)=O</t>
  </si>
  <si>
    <t>C1(=O)C=CCCC1</t>
    <phoneticPr fontId="4"/>
  </si>
  <si>
    <t>C1(=O)c2ccccc2CCC1</t>
    <phoneticPr fontId="4"/>
  </si>
  <si>
    <t>C(=O)(C1CC1)C</t>
    <phoneticPr fontId="4"/>
  </si>
  <si>
    <t>C(=O)(C(=O)OCC)CC(C)C</t>
    <phoneticPr fontId="14"/>
  </si>
  <si>
    <t>C(=O)(C(=O)OC(C)(C)C)CC(C)C</t>
    <phoneticPr fontId="14"/>
  </si>
  <si>
    <t>C(=O)(C(=O)OC)c1ccccc1</t>
    <phoneticPr fontId="14"/>
  </si>
  <si>
    <t>C(=O)(C(=O)OC(C)C)c1ccccc1</t>
    <phoneticPr fontId="14"/>
  </si>
  <si>
    <t>C(=O)(C(=O)OC(C)(C)C)c1ccccc1</t>
    <phoneticPr fontId="14"/>
  </si>
  <si>
    <t>C(=O)(C(=O)OCC)CCC</t>
    <phoneticPr fontId="14"/>
  </si>
  <si>
    <t>C(=O)(C(=O)OC(C)(C)C)CCC</t>
    <phoneticPr fontId="14"/>
  </si>
  <si>
    <t>C(=O)(C(=O)OC)C(C)C</t>
    <phoneticPr fontId="14"/>
  </si>
  <si>
    <r>
      <t>CCCC(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2H</t>
    </r>
    <r>
      <rPr>
        <sz val="13"/>
        <color theme="1"/>
        <rFont val="Hiragino Sans"/>
        <family val="2"/>
      </rPr>
      <t>]</t>
    </r>
    <r>
      <rPr>
        <sz val="13"/>
        <color theme="1"/>
        <rFont val="Helvetica Neue"/>
        <family val="2"/>
      </rPr>
      <t>)=O</t>
    </r>
  </si>
  <si>
    <r>
      <t>CC(C)(C)CC(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2H</t>
    </r>
    <r>
      <rPr>
        <sz val="13"/>
        <color theme="1"/>
        <rFont val="Hiragino Sans"/>
        <family val="2"/>
      </rPr>
      <t>]</t>
    </r>
    <r>
      <rPr>
        <sz val="13"/>
        <color theme="1"/>
        <rFont val="Helvetica Neue"/>
        <family val="2"/>
      </rPr>
      <t>)=O</t>
    </r>
    <phoneticPr fontId="14"/>
  </si>
  <si>
    <r>
      <t>C(=O)(/C=C/C1=CC=CC=C1)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2H</t>
    </r>
    <r>
      <rPr>
        <sz val="13"/>
        <color theme="1"/>
        <rFont val="Hiragino Sans"/>
        <family val="2"/>
      </rPr>
      <t>]</t>
    </r>
    <phoneticPr fontId="14"/>
  </si>
  <si>
    <r>
      <t>C(=O)(c1ccccc1)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2H</t>
    </r>
    <r>
      <rPr>
        <sz val="13"/>
        <color theme="1"/>
        <rFont val="Hiragino Sans"/>
        <family val="2"/>
      </rPr>
      <t>]</t>
    </r>
    <phoneticPr fontId="14"/>
  </si>
  <si>
    <r>
      <t>C(=O)(c1ccc(Cl)cc1)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2H</t>
    </r>
    <r>
      <rPr>
        <sz val="13"/>
        <color theme="1"/>
        <rFont val="Hiragino Sans"/>
        <family val="2"/>
      </rPr>
      <t>]</t>
    </r>
    <phoneticPr fontId="14"/>
  </si>
  <si>
    <r>
      <t>O=C(c1ccc(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N+</t>
    </r>
    <r>
      <rPr>
        <sz val="13"/>
        <color theme="1"/>
        <rFont val="Hiragino Sans"/>
        <family val="2"/>
      </rPr>
      <t>]</t>
    </r>
    <r>
      <rPr>
        <sz val="13"/>
        <color theme="1"/>
        <rFont val="Helvetica Neue"/>
        <family val="2"/>
      </rPr>
      <t>(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O-</t>
    </r>
    <r>
      <rPr>
        <sz val="13"/>
        <color theme="1"/>
        <rFont val="Hiragino Sans"/>
        <family val="2"/>
      </rPr>
      <t>]</t>
    </r>
    <r>
      <rPr>
        <sz val="13"/>
        <color theme="1"/>
        <rFont val="Helvetica Neue"/>
        <family val="2"/>
      </rPr>
      <t>)=O)cc1)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2H</t>
    </r>
    <r>
      <rPr>
        <sz val="13"/>
        <color theme="1"/>
        <rFont val="Hiragino Sans"/>
        <family val="2"/>
      </rPr>
      <t>]</t>
    </r>
  </si>
  <si>
    <r>
      <t>O=C(c1ccc(OC)cc1)</t>
    </r>
    <r>
      <rPr>
        <sz val="13"/>
        <color theme="1"/>
        <rFont val="Hiragino Sans"/>
        <family val="2"/>
      </rPr>
      <t>[</t>
    </r>
    <r>
      <rPr>
        <sz val="13"/>
        <color theme="1"/>
        <rFont val="Helvetica Neue"/>
        <family val="2"/>
      </rPr>
      <t>2H</t>
    </r>
    <r>
      <rPr>
        <sz val="13"/>
        <color theme="1"/>
        <rFont val="Hiragino Sans"/>
        <family val="2"/>
      </rPr>
      <t>]</t>
    </r>
    <phoneticPr fontId="14"/>
  </si>
  <si>
    <t>C(=O)(C#CCCCC)c1ccccc1</t>
    <phoneticPr fontId="14"/>
  </si>
  <si>
    <t>C(=O)(C#CCCCCCC)CCC</t>
    <phoneticPr fontId="14"/>
  </si>
  <si>
    <t>C(=O)(C#CCCCC)CCCCC</t>
    <phoneticPr fontId="14"/>
  </si>
  <si>
    <t>C(=O)(C#C)CCCCC</t>
    <phoneticPr fontId="14"/>
  </si>
  <si>
    <t>C(=O)(C#CCCCCCCCC)CCC(=O)OC</t>
    <phoneticPr fontId="14"/>
  </si>
  <si>
    <t>C(=O)(C#CC(=O)OCC)C</t>
    <phoneticPr fontId="14"/>
  </si>
  <si>
    <t>C(=O)(C#CC(=O)OCC)CC</t>
    <phoneticPr fontId="14"/>
  </si>
  <si>
    <t>C(=O)(C#CC(=O)OCC)CCCCCC</t>
    <phoneticPr fontId="14"/>
  </si>
  <si>
    <t>C(=O)(C#CC(=O)OCC)c1ccccc1</t>
    <phoneticPr fontId="14"/>
  </si>
  <si>
    <t>O=C(C#CC(OCC)=O)C/C=C\CCCCC</t>
    <phoneticPr fontId="14"/>
  </si>
  <si>
    <t>O=C(C#CC(OCC)=O)/C=C\CCCCC</t>
    <phoneticPr fontId="14"/>
  </si>
  <si>
    <t>O=C(C#CC(C)(C)C)C</t>
    <phoneticPr fontId="14"/>
  </si>
  <si>
    <t>273</t>
    <phoneticPr fontId="4"/>
  </si>
  <si>
    <t>2-methyl-cyclohexanone</t>
    <phoneticPr fontId="4"/>
  </si>
  <si>
    <t>C1(=O)C(C)CCCC1</t>
    <phoneticPr fontId="4"/>
  </si>
  <si>
    <t>3-methyl-cyclohexanone</t>
    <phoneticPr fontId="4"/>
  </si>
  <si>
    <t>C1(=O)CC(C)CCC1</t>
    <phoneticPr fontId="4"/>
  </si>
  <si>
    <t>0</t>
    <phoneticPr fontId="4"/>
  </si>
  <si>
    <t>norbornanone</t>
    <phoneticPr fontId="4"/>
  </si>
  <si>
    <r>
      <t xml:space="preserve">H. C. Brown, G. G. Pai, </t>
    </r>
    <r>
      <rPr>
        <i/>
        <sz val="10"/>
        <rFont val="Times New Roman"/>
        <family val="1"/>
      </rPr>
      <t>J. Org. Chem.</t>
    </r>
    <r>
      <rPr>
        <sz val="10"/>
        <rFont val="Times New Roman"/>
        <family val="1"/>
        <charset val="1"/>
      </rPr>
      <t xml:space="preserve"> </t>
    </r>
    <r>
      <rPr>
        <b/>
        <sz val="10"/>
        <rFont val="Times New Roman"/>
        <family val="1"/>
      </rPr>
      <t>1985</t>
    </r>
    <r>
      <rPr>
        <sz val="10"/>
        <rFont val="Times New Roman"/>
        <family val="1"/>
        <charset val="1"/>
      </rPr>
      <t xml:space="preserve">, </t>
    </r>
    <r>
      <rPr>
        <i/>
        <sz val="10"/>
        <rFont val="Times New Roman"/>
        <family val="1"/>
      </rPr>
      <t>50</t>
    </r>
    <r>
      <rPr>
        <sz val="10"/>
        <rFont val="Times New Roman"/>
        <family val="1"/>
        <charset val="1"/>
      </rPr>
      <t>, 1384–1394</t>
    </r>
    <phoneticPr fontId="4"/>
  </si>
  <si>
    <r>
      <t xml:space="preserve">M. M. Midland, </t>
    </r>
    <r>
      <rPr>
        <i/>
        <sz val="10"/>
        <rFont val="Times New Roman"/>
        <family val="1"/>
      </rPr>
      <t>Chem. Rev.</t>
    </r>
    <r>
      <rPr>
        <sz val="10"/>
        <rFont val="Times New Roman"/>
        <family val="1"/>
        <charset val="1"/>
      </rPr>
      <t xml:space="preserve"> </t>
    </r>
    <r>
      <rPr>
        <b/>
        <sz val="10"/>
        <rFont val="Times New Roman"/>
        <family val="1"/>
      </rPr>
      <t>1989</t>
    </r>
    <r>
      <rPr>
        <sz val="10"/>
        <rFont val="Times New Roman"/>
        <family val="1"/>
        <charset val="1"/>
      </rPr>
      <t xml:space="preserve">, </t>
    </r>
    <r>
      <rPr>
        <i/>
        <sz val="10"/>
        <rFont val="Times New Roman"/>
        <family val="1"/>
      </rPr>
      <t>89</t>
    </r>
    <r>
      <rPr>
        <sz val="10"/>
        <rFont val="Times New Roman"/>
        <family val="1"/>
        <charset val="1"/>
      </rPr>
      <t>, 1553–1561</t>
    </r>
    <phoneticPr fontId="4"/>
  </si>
  <si>
    <t>https://doi.org/10.1016/j.jfluchem.2007.04.015</t>
  </si>
  <si>
    <t>dichloromethyl phenyl ketone</t>
    <phoneticPr fontId="4"/>
  </si>
  <si>
    <t>trichloromethyl phenyl ketone</t>
    <phoneticPr fontId="4"/>
  </si>
  <si>
    <t>chloroacetone</t>
    <phoneticPr fontId="4"/>
  </si>
  <si>
    <t>fluoroacetone</t>
    <phoneticPr fontId="4"/>
  </si>
  <si>
    <t>dichloroacetone</t>
    <phoneticPr fontId="4"/>
  </si>
  <si>
    <t>difluoroacetone</t>
    <phoneticPr fontId="4"/>
  </si>
  <si>
    <t>trichloroacetone</t>
    <phoneticPr fontId="4"/>
  </si>
  <si>
    <t>trifluoroacetone</t>
    <phoneticPr fontId="4"/>
  </si>
  <si>
    <t>fluoroacetophenone</t>
    <phoneticPr fontId="4"/>
  </si>
  <si>
    <t>difluoroacetophenone</t>
    <phoneticPr fontId="4"/>
  </si>
  <si>
    <t>fluoromethyl n-hexyl ketone</t>
    <phoneticPr fontId="4"/>
  </si>
  <si>
    <t>difluoromethyl n-hexyl ketone</t>
    <phoneticPr fontId="4"/>
  </si>
  <si>
    <t>trifluoromethyl n-hexyl ketone</t>
    <phoneticPr fontId="4"/>
  </si>
  <si>
    <r>
      <t xml:space="preserve">P. V. Ramachandran, et al. </t>
    </r>
    <r>
      <rPr>
        <i/>
        <sz val="10"/>
        <rFont val="Times New Roman"/>
        <family val="1"/>
      </rPr>
      <t>Tetrahedron: Asymmetry</t>
    </r>
    <r>
      <rPr>
        <sz val="10"/>
        <rFont val="游ゴシック"/>
        <family val="1"/>
        <charset val="128"/>
      </rPr>
      <t xml:space="preserve">, </t>
    </r>
    <r>
      <rPr>
        <b/>
        <sz val="10"/>
        <rFont val="游ゴシック"/>
        <family val="3"/>
        <charset val="128"/>
      </rPr>
      <t>1994</t>
    </r>
    <r>
      <rPr>
        <sz val="10"/>
        <rFont val="游ゴシック"/>
        <family val="1"/>
        <charset val="128"/>
      </rPr>
      <t>,</t>
    </r>
    <r>
      <rPr>
        <sz val="10"/>
        <rFont val="Times New Roman"/>
        <family val="1"/>
        <charset val="1"/>
      </rPr>
      <t> </t>
    </r>
    <r>
      <rPr>
        <i/>
        <sz val="10"/>
        <rFont val="Times New Roman"/>
        <family val="1"/>
      </rPr>
      <t>5</t>
    </r>
    <r>
      <rPr>
        <sz val="10"/>
        <rFont val="游ゴシック"/>
        <family val="1"/>
        <charset val="128"/>
      </rPr>
      <t>,</t>
    </r>
    <r>
      <rPr>
        <sz val="10"/>
        <rFont val="Times New Roman"/>
        <family val="1"/>
        <charset val="1"/>
      </rPr>
      <t xml:space="preserve"> 1075-1086.</t>
    </r>
    <phoneticPr fontId="4"/>
  </si>
  <si>
    <t>https://doi.org/10.1016/0957-4166(94)80057-X</t>
    <phoneticPr fontId="4"/>
  </si>
  <si>
    <r>
      <t xml:space="preserve">P. V. Ramachandran, B. Gong, A. V. Teodorović. </t>
    </r>
    <r>
      <rPr>
        <sz val="10"/>
        <rFont val="游ゴシック"/>
        <family val="1"/>
        <charset val="128"/>
      </rPr>
      <t xml:space="preserve">J. Fluor. </t>
    </r>
    <r>
      <rPr>
        <sz val="10"/>
        <rFont val="Times New Roman"/>
        <family val="1"/>
        <charset val="1"/>
      </rPr>
      <t xml:space="preserve">Chem. </t>
    </r>
    <r>
      <rPr>
        <b/>
        <sz val="10"/>
        <rFont val="游ゴシック"/>
        <family val="3"/>
        <charset val="128"/>
      </rPr>
      <t>2007</t>
    </r>
    <r>
      <rPr>
        <sz val="10"/>
        <rFont val="游ゴシック"/>
        <family val="1"/>
        <charset val="128"/>
      </rPr>
      <t xml:space="preserve">, </t>
    </r>
    <r>
      <rPr>
        <i/>
        <sz val="10"/>
        <rFont val="Times New Roman"/>
        <family val="1"/>
      </rPr>
      <t>128</t>
    </r>
    <r>
      <rPr>
        <sz val="10"/>
        <rFont val="游ゴシック"/>
        <family val="1"/>
        <charset val="128"/>
      </rPr>
      <t>,</t>
    </r>
    <r>
      <rPr>
        <sz val="10"/>
        <rFont val="Times New Roman"/>
        <family val="1"/>
        <charset val="1"/>
      </rPr>
      <t xml:space="preserve"> 844-850.</t>
    </r>
    <phoneticPr fontId="4"/>
  </si>
  <si>
    <t>C(=O)(CF)c1ccccc1</t>
    <phoneticPr fontId="4"/>
  </si>
  <si>
    <t>C(=O)(C(Cl)Cl)c1ccccc1</t>
    <phoneticPr fontId="4"/>
  </si>
  <si>
    <t>C(=O)(CF)CCCCCC</t>
    <phoneticPr fontId="4"/>
  </si>
  <si>
    <t>C(=O)(C(F)F)CCCCCC</t>
    <phoneticPr fontId="4"/>
  </si>
  <si>
    <t>C(=O)(C(F)(F)F)CCCCCC</t>
    <phoneticPr fontId="4"/>
  </si>
  <si>
    <t>C(=O)(C(F)F)c1ccccc1</t>
    <phoneticPr fontId="4"/>
  </si>
  <si>
    <t>C(=O)(C(Cl)(Cl)Cl)c1ccccc1</t>
    <phoneticPr fontId="4"/>
  </si>
  <si>
    <t>C(=O)(CCl)C</t>
    <phoneticPr fontId="4"/>
  </si>
  <si>
    <t>C(=O)(CF)C</t>
    <phoneticPr fontId="4"/>
  </si>
  <si>
    <t>C(=O)(C(Cl)Cl)C</t>
    <phoneticPr fontId="4"/>
  </si>
  <si>
    <t>C(=O)(C(F)F)C</t>
    <phoneticPr fontId="4"/>
  </si>
  <si>
    <t>C(=O)(C(Cl)(Cl)Cl)C</t>
    <phoneticPr fontId="4"/>
  </si>
  <si>
    <t>C(=O)(C(F)(F)F)C</t>
    <phoneticPr fontId="4"/>
  </si>
  <si>
    <t>https://pubs.acs.org/doi/pdf/10.1021/jo00034a034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</si>
  <si>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</si>
  <si>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</si>
  <si>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</si>
  <si>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</si>
  <si>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</si>
  <si>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</si>
  <si>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</si>
  <si>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</si>
  <si>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</si>
  <si>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12</t>
  </si>
  <si>
    <t>13</t>
  </si>
  <si>
    <t>14</t>
  </si>
  <si>
    <t>15</t>
  </si>
  <si>
    <t>16</t>
  </si>
  <si>
    <t>17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</si>
  <si>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</si>
  <si>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</si>
  <si>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</si>
  <si>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</si>
  <si>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</si>
  <si>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</si>
  <si>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</si>
  <si>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</si>
  <si>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</si>
  <si>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</si>
  <si>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</si>
  <si>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</si>
  <si>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</si>
  <si>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</si>
  <si>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</si>
  <si>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36</t>
  </si>
  <si>
    <t>37</t>
  </si>
  <si>
    <t>39</t>
  </si>
  <si>
    <t>40</t>
  </si>
  <si>
    <t>41</t>
  </si>
  <si>
    <t>42</t>
  </si>
  <si>
    <t>44</t>
  </si>
  <si>
    <t>45</t>
  </si>
  <si>
    <t>46</t>
  </si>
  <si>
    <t>47</t>
  </si>
  <si>
    <t>50</t>
  </si>
  <si>
    <t>51</t>
  </si>
  <si>
    <t>53</t>
  </si>
  <si>
    <t>54</t>
  </si>
  <si>
    <t>55</t>
  </si>
  <si>
    <t>56</t>
  </si>
  <si>
    <t>57</t>
  </si>
  <si>
    <t>58</t>
  </si>
  <si>
    <t>59</t>
  </si>
  <si>
    <t>60</t>
  </si>
  <si>
    <t>63</t>
  </si>
  <si>
    <t>67</t>
  </si>
  <si>
    <t>68</t>
  </si>
  <si>
    <t>69</t>
  </si>
  <si>
    <t>70</t>
  </si>
  <si>
    <t>C(=O)(c1cnccc1)C</t>
    <phoneticPr fontId="4"/>
  </si>
  <si>
    <t>O=C1C(C2)CCC2C1</t>
    <phoneticPr fontId="4"/>
  </si>
  <si>
    <t>O=C1C=C2CCCC(=O)[C@@]2(C)CC1</t>
    <phoneticPr fontId="4"/>
  </si>
  <si>
    <t>C(=O)(C#CC)C(C)c1ccccc1</t>
    <phoneticPr fontId="4"/>
  </si>
  <si>
    <t>C(=O)(C#CC)C[C@@H](C)[C@H]1CC[C@H]2[C@H]3CC=C4CCCC[C@]4(C)[C@H]3CC[C@]12(C)</t>
    <phoneticPr fontId="4"/>
  </si>
  <si>
    <t>98.4</t>
    <phoneticPr fontId="4"/>
  </si>
  <si>
    <t>C(=O)(C#CC)[C@@H](C)[C@H]1CC[C@H]2[C@H]3CC=C4CCCC[C@]4(C)[C@H]3CC[C@]12(C)</t>
    <phoneticPr fontId="4"/>
  </si>
  <si>
    <t>C(=O)(C#Cc1ccccc1)CC</t>
    <phoneticPr fontId="4"/>
  </si>
  <si>
    <t>C(=O)(C#Cc1ccccc1)C(C)C</t>
    <phoneticPr fontId="4"/>
  </si>
  <si>
    <t>C(=O)(C#CC1CCCCC1)C(C)C</t>
    <phoneticPr fontId="4"/>
  </si>
  <si>
    <t>C(=O)(C#CCCCCCCCC)C(C)C</t>
    <phoneticPr fontId="4"/>
  </si>
  <si>
    <t>C(=O)(C#Cc1ccccc1)C(C)(C)C</t>
    <phoneticPr fontId="4"/>
  </si>
  <si>
    <t>C(=O)(C#CCCCCCCCC)C(C)(C)C</t>
    <phoneticPr fontId="4"/>
  </si>
  <si>
    <t>71</t>
  </si>
  <si>
    <t>72</t>
  </si>
  <si>
    <t>73</t>
  </si>
  <si>
    <t>74</t>
  </si>
  <si>
    <t>77</t>
  </si>
  <si>
    <t>80</t>
  </si>
  <si>
    <t>81</t>
  </si>
  <si>
    <t>84</t>
  </si>
  <si>
    <t>85</t>
  </si>
  <si>
    <t>88</t>
  </si>
  <si>
    <r>
      <t>P. V. Ramachandran, A. V. Teodorovic, M. V. Rangaishenvi, H. C. Brown,</t>
    </r>
    <r>
      <rPr>
        <i/>
        <sz val="10"/>
        <color rgb="FF222222"/>
        <rFont val="Arial"/>
        <family val="2"/>
      </rPr>
      <t xml:space="preserve"> J. Org. Chem. </t>
    </r>
    <r>
      <rPr>
        <b/>
        <i/>
        <sz val="10"/>
        <color rgb="FF222222"/>
        <rFont val="Arial"/>
        <family val="2"/>
      </rPr>
      <t>1992</t>
    </r>
    <r>
      <rPr>
        <i/>
        <sz val="10"/>
        <color rgb="FF222222"/>
        <rFont val="Arial"/>
        <family val="2"/>
      </rPr>
      <t>, 57</t>
    </r>
    <r>
      <rPr>
        <sz val="10"/>
        <color rgb="FF222222"/>
        <rFont val="Arial"/>
        <family val="2"/>
      </rPr>
      <t>, 2379-2386.</t>
    </r>
    <phoneticPr fontId="4"/>
  </si>
  <si>
    <t>C(=O)(CN)c1ccccc1</t>
    <phoneticPr fontId="4"/>
  </si>
  <si>
    <t>C(=O)(CN)c1c(Cl)cccc1</t>
    <phoneticPr fontId="4"/>
  </si>
  <si>
    <t>C(=O)(CN)c1cc(C)ccc1</t>
    <phoneticPr fontId="4"/>
  </si>
  <si>
    <t>C(=O)(CN)c1ccc(C)cc1</t>
    <phoneticPr fontId="4"/>
  </si>
  <si>
    <t>C(=O)(CN)CCCCCC</t>
    <phoneticPr fontId="4"/>
  </si>
  <si>
    <t>91</t>
  </si>
  <si>
    <t>94</t>
  </si>
  <si>
    <t>95</t>
  </si>
  <si>
    <t>94</t>
    <phoneticPr fontId="4"/>
  </si>
  <si>
    <t>95</t>
    <phoneticPr fontId="4"/>
  </si>
  <si>
    <t>85</t>
    <phoneticPr fontId="4"/>
  </si>
  <si>
    <t>https://pubs.acs.org/doi/pdf/10.1021/jo00217a053</t>
    <phoneticPr fontId="4"/>
  </si>
  <si>
    <r>
      <t xml:space="preserve">M. M. Midland, P. E. Lee. J. Org. Chem. </t>
    </r>
    <r>
      <rPr>
        <b/>
        <sz val="10"/>
        <rFont val="Times New Roman"/>
        <family val="1"/>
      </rPr>
      <t>1985</t>
    </r>
    <r>
      <rPr>
        <sz val="10"/>
        <rFont val="Times New Roman"/>
        <family val="1"/>
        <charset val="1"/>
      </rPr>
      <t xml:space="preserve">, </t>
    </r>
    <r>
      <rPr>
        <i/>
        <sz val="10"/>
        <rFont val="Times New Roman"/>
        <family val="1"/>
      </rPr>
      <t>50</t>
    </r>
    <r>
      <rPr>
        <sz val="10"/>
        <rFont val="Times New Roman"/>
        <family val="1"/>
        <charset val="1"/>
      </rPr>
      <t>, 3237-3239.</t>
    </r>
    <phoneticPr fontId="4"/>
  </si>
  <si>
    <t>O=C(C#C[Si](C)(C)C)C=1C=CC=CC1Br</t>
  </si>
  <si>
    <t>96</t>
  </si>
  <si>
    <t>https://doi.org/10.1002/ange.201803472</t>
  </si>
  <si>
    <t>A. Link, C. Sparr.  Angew. Chem. 2018, 130, 7254-7257.</t>
    <phoneticPr fontId="4"/>
  </si>
  <si>
    <t>https://doi.org/10.1021/ar00013a003</t>
    <phoneticPr fontId="4"/>
  </si>
  <si>
    <t xml:space="preserve">methyl 2-oxopentanoate </t>
    <phoneticPr fontId="4"/>
  </si>
  <si>
    <t>C(=O)(C(=O)OC)CCC</t>
    <phoneticPr fontId="4"/>
  </si>
  <si>
    <t>O=C(C#CCCCC1OCCO1)CCO[Si](C)(C)C(C)(C)C</t>
  </si>
  <si>
    <t>https://doi.org/10.1021/ja990404v</t>
  </si>
  <si>
    <r>
      <t>M. E. Fox, et al. </t>
    </r>
    <r>
      <rPr>
        <i/>
        <sz val="13"/>
        <color rgb="FF222222"/>
        <rFont val="Arial"/>
        <family val="2"/>
      </rPr>
      <t>J. Am. Chem. Soc.</t>
    </r>
    <r>
      <rPr>
        <sz val="13"/>
        <color rgb="FF222222"/>
        <rFont val="Arial"/>
        <family val="2"/>
      </rPr>
      <t> 1999, 121. 5467-5480.</t>
    </r>
    <phoneticPr fontId="4"/>
  </si>
  <si>
    <t>O=C(C#C)CCCOCC=1C=CC=CC1</t>
  </si>
  <si>
    <t>https://doi.org/10.1002/ejoc.200900037</t>
  </si>
  <si>
    <t>Alibes, Ramon, and Marta Figueredo. "Strategies for the synthesis of Stemona alkaloids." European Journal of Organic Chemistry 2009.15 (2009): 2421-2435.</t>
  </si>
  <si>
    <t>97</t>
  </si>
  <si>
    <t>98</t>
  </si>
  <si>
    <t>61</t>
  </si>
  <si>
    <t>64</t>
  </si>
  <si>
    <t>66</t>
  </si>
  <si>
    <t>75</t>
  </si>
  <si>
    <t>76</t>
  </si>
  <si>
    <t>O=C(C#C)COC1=CC=C(F)C=C1</t>
  </si>
  <si>
    <t>https://doi.org/10.1021/jm030569l</t>
  </si>
  <si>
    <r>
      <t xml:space="preserve">Guilford, William J., et al. </t>
    </r>
    <r>
      <rPr>
        <i/>
        <sz val="13"/>
        <color rgb="FF222222"/>
        <rFont val="Arial"/>
        <family val="2"/>
      </rPr>
      <t>Journal of medicinal chemistry</t>
    </r>
    <r>
      <rPr>
        <sz val="13"/>
        <color rgb="FF222222"/>
        <rFont val="Arial"/>
        <family val="2"/>
      </rPr>
      <t> 47.8 (2004): 2157-2165.</t>
    </r>
    <phoneticPr fontId="4"/>
  </si>
  <si>
    <t>C(=O)(C(F)(F)F)C#Cc1ccccc1</t>
    <phoneticPr fontId="4"/>
  </si>
  <si>
    <t>C(=O)(C(F)(F)C(F)(F)F)C#Cc1ccccc1</t>
    <phoneticPr fontId="4"/>
  </si>
  <si>
    <t>C(=O)(C(F)(F)C(F)(F)C(F)(F)F)C#Cc1ccccc1</t>
    <phoneticPr fontId="4"/>
  </si>
  <si>
    <t>C(=O)(C(F)F)C#Cc1ccccc1</t>
    <phoneticPr fontId="4"/>
  </si>
  <si>
    <t>C(=O)(CF)C#Cc1ccccc1</t>
    <phoneticPr fontId="4"/>
  </si>
  <si>
    <t>C(=O)(C(F)(F)F)C#CCCCC</t>
    <phoneticPr fontId="4"/>
  </si>
  <si>
    <t>C(=O)(C(F)(F)C(F)(F)F)C#CCCCC</t>
    <phoneticPr fontId="4"/>
  </si>
  <si>
    <t>C(=O)(C(F)(F)C(F)(F)C(F)(F)F)C#CCCCC</t>
    <phoneticPr fontId="4"/>
  </si>
  <si>
    <t>C(=O)(CF)C#CCCCC</t>
    <phoneticPr fontId="4"/>
  </si>
  <si>
    <t>C(=O)(C(F)F)C#CCCCC</t>
    <phoneticPr fontId="4"/>
  </si>
  <si>
    <t>https://doi.org/10.1016/0957-4166(94)80056-1</t>
  </si>
  <si>
    <t>Ramachandran, P. Veeraraghavan, et al. "Selective reductions. 52. Efficient asymmetric reduction of α-acetylenic α′-fluoroalkyl ketones with either B-chlorodiisopinocampheylborane or B-isopinocampheyl-9-borabicyclo [3.3. 1] nonane in high enantiomeric purity. The influence of fluoro groups in such reductions." Tetrahedron: Asymmetry 5.6 (1994): 1061-1074.</t>
  </si>
  <si>
    <t>99</t>
  </si>
  <si>
    <t>100</t>
  </si>
  <si>
    <t>101</t>
  </si>
  <si>
    <t>102</t>
  </si>
  <si>
    <t>103</t>
  </si>
  <si>
    <t>3,3-dimethyl-2-butanone was removed because the reaction was very slow, suggesting a non-selective reaction progression.</t>
    <rPh sb="24" eb="26">
      <t>ハンノウガヘ</t>
    </rPh>
    <rPh sb="33" eb="37">
      <t>ヒセn</t>
    </rPh>
    <rPh sb="37" eb="39">
      <t>ハンノウ</t>
    </rPh>
    <rPh sb="43" eb="45">
      <t>シサ</t>
    </rPh>
    <rPh sb="52" eb="54">
      <t>サクゼィオ</t>
    </rPh>
    <phoneticPr fontId="4"/>
  </si>
  <si>
    <t>21</t>
    <phoneticPr fontId="4"/>
  </si>
  <si>
    <r>
      <t>Quantitative data were used instead of 100%.(from M. M. Midland, Chem. Rev. 1989, 89, 1553–1561:</t>
    </r>
    <r>
      <rPr>
        <sz val="10"/>
        <rFont val="Times New Roman"/>
        <family val="1"/>
        <charset val="1"/>
      </rPr>
      <t>https://pubs.acs.org/doi/abs/10.1021/cr00097a010)</t>
    </r>
    <rPh sb="9" eb="12">
      <t>テイリョウテ</t>
    </rPh>
    <phoneticPr fontId="4"/>
  </si>
  <si>
    <t>-65.5</t>
    <phoneticPr fontId="4"/>
  </si>
  <si>
    <t>https://doi.org/10.1021/acscatal.1c02714</t>
  </si>
  <si>
    <t>104</t>
    <phoneticPr fontId="4"/>
  </si>
  <si>
    <t>C(=C/C(=O)[2H])(\C1(O)CCC1)/C2=CC=CC=C2</t>
  </si>
  <si>
    <t>195</t>
    <phoneticPr fontId="4"/>
  </si>
  <si>
    <t>ACS Catal. 2021, 11, 14, 8956–8957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</si>
</sst>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0"/>
      <name val="ヒラギノ角ゴ ProN W3"/>
      <charset val="1"/>
    </font>
    <font>
      <sz val="10"/>
      <name val="Times New Roman"/>
      <family val="1"/>
      <charset val="1"/>
    </font>
    <font>
      <u/>
      <sz val="10"/>
      <color rgb="FF0000FF"/>
      <name val="ヒラギノ角ゴ ProN W3"/>
      <family val="3"/>
      <charset val="128"/>
    </font>
    <font>
      <sz val="10"/>
      <color rgb="FF000000"/>
      <name val="Times New Roman"/>
      <family val="1"/>
      <charset val="1"/>
    </font>
    <font>
      <sz val="6"/>
      <name val="Tsukushi A Round Gothic Bold"/>
      <family val="3"/>
      <charset val="128"/>
    </font>
    <font>
      <i/>
      <sz val="10"/>
      <color rgb="FF222222"/>
      <name val="Arial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sz val="10"/>
      <name val="ヒラギノ角ゴ ProN W3"/>
      <family val="3"/>
      <charset val="128"/>
    </font>
    <font>
      <sz val="10"/>
      <name val="游ゴシック"/>
      <family val="3"/>
      <charset val="128"/>
    </font>
    <font>
      <b/>
      <sz val="10"/>
      <name val="Times New Roman"/>
      <family val="1"/>
    </font>
    <font>
      <sz val="10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sz val="6"/>
      <name val="游ゴシック"/>
      <family val="2"/>
      <charset val="128"/>
      <scheme val="minor"/>
    </font>
    <font>
      <sz val="13"/>
      <color theme="1"/>
      <name val="Helvetica Neue"/>
      <family val="2"/>
    </font>
    <font>
      <sz val="13"/>
      <color theme="1"/>
      <name val="Hiragino Sans"/>
      <family val="2"/>
    </font>
    <font>
      <i/>
      <sz val="10"/>
      <name val="Times New Roman"/>
      <family val="1"/>
    </font>
    <font>
      <sz val="10"/>
      <name val="游ゴシック"/>
      <family val="1"/>
      <charset val="128"/>
    </font>
    <font>
      <b/>
      <sz val="10"/>
      <name val="游ゴシック"/>
      <family val="3"/>
      <charset val="128"/>
    </font>
    <font>
      <b/>
      <i/>
      <sz val="10"/>
      <color rgb="FF222222"/>
      <name val="Arial"/>
      <family val="2"/>
    </font>
    <font>
      <sz val="15"/>
      <color rgb="FF1D1C1D"/>
      <name val="Arial"/>
      <family val="2"/>
    </font>
    <font>
      <sz val="14"/>
      <color rgb="FF262626"/>
      <name val="Arial"/>
      <family val="2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sz val="14"/>
      <color rgb="FF767676"/>
      <name val="Arial"/>
      <family val="2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3F3F3F"/>
      </left>
      <right/>
      <top/>
      <bottom/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/>
      <diagonal/>
    </border>
  </borders>
  <cellStyleXfs count="2">
    <xf numFmtId="0" fontId="0" fillId="0" borderId="0">
      <alignment vertical="top" wrapText="1"/>
    </xf>
    <xf numFmtId="0" fontId="2" fillId="0" borderId="0" applyBorder="0" applyProtection="0">
      <alignment vertical="top" wrapText="1"/>
    </xf>
  </cellStyleXfs>
  <cellXfs count="29">
    <xf numFmtId="0" fontId="0" fillId="0" borderId="0" xfId="0">
      <alignment vertical="top" wrapText="1"/>
    </xf>
    <xf numFmtId="0" fontId="0" fillId="0" borderId="0" xfId="0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0" fontId="1" fillId="2" borderId="2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3" fillId="0" borderId="2" xfId="1" applyFont="1" applyBorder="1" applyAlignment="1" applyProtection="1">
      <alignment vertical="top"/>
    </xf>
    <xf numFmtId="49" fontId="1" fillId="0" borderId="1" xfId="0" applyNumberFormat="1" applyFont="1" applyBorder="1" applyAlignment="1">
      <alignment vertical="top"/>
    </xf>
    <xf numFmtId="49" fontId="1" fillId="2" borderId="3" xfId="0" applyNumberFormat="1" applyFont="1" applyFill="1" applyBorder="1" applyAlignment="1">
      <alignment vertical="top"/>
    </xf>
    <xf numFmtId="0" fontId="1" fillId="2" borderId="0" xfId="0" applyFont="1" applyFill="1" applyAlignment="1">
      <alignment vertical="top"/>
    </xf>
    <xf numFmtId="0" fontId="2" fillId="0" borderId="0" xfId="1" applyBorder="1">
      <alignment vertical="top" wrapText="1"/>
    </xf>
    <xf numFmtId="0" fontId="2" fillId="0" borderId="0" xfId="1">
      <alignment vertical="top" wrapText="1"/>
    </xf>
    <xf numFmtId="0" fontId="9" fillId="0" borderId="0" xfId="0" applyFont="1" applyAlignment="1">
      <alignment vertical="top"/>
    </xf>
    <xf numFmtId="0" fontId="8" fillId="0" borderId="0" xfId="0" applyFont="1">
      <alignment vertical="top" wrapText="1"/>
    </xf>
    <xf numFmtId="49" fontId="11" fillId="2" borderId="1" xfId="0" applyNumberFormat="1" applyFont="1" applyFill="1" applyBorder="1" applyAlignment="1">
      <alignment vertical="top"/>
    </xf>
    <xf numFmtId="49" fontId="12" fillId="2" borderId="1" xfId="0" applyNumberFormat="1" applyFont="1" applyFill="1" applyBorder="1" applyAlignment="1">
      <alignment vertical="top"/>
    </xf>
    <xf numFmtId="49" fontId="13" fillId="0" borderId="4" xfId="0" applyNumberFormat="1" applyFont="1" applyBorder="1" applyAlignment="1">
      <alignment vertical="top"/>
    </xf>
    <xf numFmtId="0" fontId="15" fillId="0" borderId="0" xfId="0" applyFont="1" applyAlignment="1">
      <alignment vertical="center"/>
    </xf>
    <xf numFmtId="49" fontId="13" fillId="0" borderId="5" xfId="0" applyNumberFormat="1" applyFont="1" applyBorder="1" applyAlignment="1">
      <alignment vertical="top"/>
    </xf>
    <xf numFmtId="0" fontId="13" fillId="0" borderId="6" xfId="0" applyFont="1" applyBorder="1" applyAlignment="1">
      <alignment vertical="top"/>
    </xf>
    <xf numFmtId="0" fontId="13" fillId="0" borderId="7" xfId="0" applyFont="1" applyBorder="1" applyAlignment="1">
      <alignment vertical="top"/>
    </xf>
    <xf numFmtId="0" fontId="13" fillId="0" borderId="0" xfId="0" applyFont="1" applyAlignment="1">
      <alignment vertical="top"/>
    </xf>
    <xf numFmtId="0" fontId="6" fillId="0" borderId="0" xfId="0" applyFont="1">
      <alignment vertical="top" wrapText="1"/>
    </xf>
    <xf numFmtId="49" fontId="1" fillId="2" borderId="0" xfId="0" applyNumberFormat="1" applyFont="1" applyFill="1" applyAlignment="1">
      <alignment vertical="top"/>
    </xf>
    <xf numFmtId="49" fontId="13" fillId="0" borderId="0" xfId="0" applyNumberFormat="1" applyFont="1" applyAlignment="1">
      <alignment vertical="top"/>
    </xf>
    <xf numFmtId="0" fontId="21" fillId="0" borderId="0" xfId="0" applyFont="1">
      <alignment vertical="top" wrapText="1"/>
    </xf>
    <xf numFmtId="0" fontId="22" fillId="0" borderId="0" xfId="0" applyFont="1">
      <alignment vertical="top" wrapText="1"/>
    </xf>
    <xf numFmtId="0" fontId="23" fillId="0" borderId="0" xfId="0" applyFont="1">
      <alignment vertical="top" wrapText="1"/>
    </xf>
    <xf numFmtId="0" fontId="25" fillId="0" borderId="0" xfId="0" applyFont="1">
      <alignment vertical="top" wrapText="1"/>
    </xf>
    <xf numFmtId="0" fontId="26" fillId="2" borderId="1" xfId="0" applyFont="1" applyFill="1" applyBorder="1" applyAlignment="1">
      <alignment vertical="top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16/0957-4166(94)80057-X" TargetMode="External"/><Relationship Id="rId18" Type="http://schemas.openxmlformats.org/officeDocument/2006/relationships/hyperlink" Target="https://doi.org/10.1016/j.jfluchem.2007.04.015" TargetMode="External"/><Relationship Id="rId26" Type="http://schemas.openxmlformats.org/officeDocument/2006/relationships/hyperlink" Target="https://pubs.acs.org/doi/pdf/10.1021/jo00034a034" TargetMode="External"/><Relationship Id="rId39" Type="http://schemas.openxmlformats.org/officeDocument/2006/relationships/hyperlink" Target="https://doi.org/10.1016/0957-4166(94)80056-1" TargetMode="External"/><Relationship Id="rId21" Type="http://schemas.openxmlformats.org/officeDocument/2006/relationships/hyperlink" Target="https://pubs.acs.org/doi/pdf/10.1021/jo00034a034" TargetMode="External"/><Relationship Id="rId34" Type="http://schemas.openxmlformats.org/officeDocument/2006/relationships/hyperlink" Target="https://doi.org/10.1002/ejoc.200900037" TargetMode="External"/><Relationship Id="rId42" Type="http://schemas.openxmlformats.org/officeDocument/2006/relationships/hyperlink" Target="https://doi.org/10.1016/0957-4166(94)80056-1" TargetMode="External"/><Relationship Id="rId7" Type="http://schemas.openxmlformats.org/officeDocument/2006/relationships/hyperlink" Target="https://doi.org/10.1021/cr00097a010" TargetMode="External"/><Relationship Id="rId2" Type="http://schemas.openxmlformats.org/officeDocument/2006/relationships/hyperlink" Target="https://doi.org/10.1021/cr00097a010" TargetMode="External"/><Relationship Id="rId16" Type="http://schemas.openxmlformats.org/officeDocument/2006/relationships/hyperlink" Target="https://doi.org/10.1016/j.jfluchem.2007.04.015" TargetMode="External"/><Relationship Id="rId29" Type="http://schemas.openxmlformats.org/officeDocument/2006/relationships/hyperlink" Target="https://pubs.acs.org/doi/pdf/10.1021/jo00217a053" TargetMode="External"/><Relationship Id="rId1" Type="http://schemas.openxmlformats.org/officeDocument/2006/relationships/hyperlink" Target="https://pubs.acs.org/doi/pdf/10.1021/jo00262a036" TargetMode="External"/><Relationship Id="rId6" Type="http://schemas.openxmlformats.org/officeDocument/2006/relationships/hyperlink" Target="https://pubs.acs.org/doi/pdf/10.1021/jo00262a036" TargetMode="External"/><Relationship Id="rId11" Type="http://schemas.openxmlformats.org/officeDocument/2006/relationships/hyperlink" Target="https://doi.org/10.1016/0957-4166(94)80057-X" TargetMode="External"/><Relationship Id="rId24" Type="http://schemas.openxmlformats.org/officeDocument/2006/relationships/hyperlink" Target="https://pubs.acs.org/doi/pdf/10.1021/jo00034a034" TargetMode="External"/><Relationship Id="rId32" Type="http://schemas.openxmlformats.org/officeDocument/2006/relationships/hyperlink" Target="https://doi.org/10.1021/ja990404v" TargetMode="External"/><Relationship Id="rId37" Type="http://schemas.openxmlformats.org/officeDocument/2006/relationships/hyperlink" Target="https://doi.org/10.1016/0957-4166(94)80056-1" TargetMode="External"/><Relationship Id="rId40" Type="http://schemas.openxmlformats.org/officeDocument/2006/relationships/hyperlink" Target="https://doi.org/10.1016/0957-4166(94)80056-1" TargetMode="External"/><Relationship Id="rId45" Type="http://schemas.openxmlformats.org/officeDocument/2006/relationships/hyperlink" Target="https://doi.org/10.1016/0957-4166(94)80056-1" TargetMode="External"/><Relationship Id="rId5" Type="http://schemas.openxmlformats.org/officeDocument/2006/relationships/hyperlink" Target="https://doi.org/10.1021/jo00209a008" TargetMode="External"/><Relationship Id="rId15" Type="http://schemas.openxmlformats.org/officeDocument/2006/relationships/hyperlink" Target="https://doi.org/10.1016/j.jfluchem.2007.04.015" TargetMode="External"/><Relationship Id="rId23" Type="http://schemas.openxmlformats.org/officeDocument/2006/relationships/hyperlink" Target="https://pubs.acs.org/doi/pdf/10.1021/jo00034a034" TargetMode="External"/><Relationship Id="rId28" Type="http://schemas.openxmlformats.org/officeDocument/2006/relationships/hyperlink" Target="https://pubs.acs.org/doi/pdf/10.1021/jo00217a053" TargetMode="External"/><Relationship Id="rId36" Type="http://schemas.openxmlformats.org/officeDocument/2006/relationships/hyperlink" Target="https://doi.org/10.1016/0957-4166(94)80056-1" TargetMode="External"/><Relationship Id="rId10" Type="http://schemas.openxmlformats.org/officeDocument/2006/relationships/hyperlink" Target="https://doi.org/10.1016/0957-4166(94)80057-X" TargetMode="External"/><Relationship Id="rId19" Type="http://schemas.openxmlformats.org/officeDocument/2006/relationships/hyperlink" Target="https://doi.org/10.1016/j.jfluchem.2007.04.015" TargetMode="External"/><Relationship Id="rId31" Type="http://schemas.openxmlformats.org/officeDocument/2006/relationships/hyperlink" Target="https://pubs.acs.org/doi/pdf/10.1021/jo00217a053" TargetMode="External"/><Relationship Id="rId44" Type="http://schemas.openxmlformats.org/officeDocument/2006/relationships/hyperlink" Target="https://doi.org/10.1016/0957-4166(94)80056-1" TargetMode="External"/><Relationship Id="rId4" Type="http://schemas.openxmlformats.org/officeDocument/2006/relationships/hyperlink" Target="https://doi.org/10.1021/jo00209a008" TargetMode="External"/><Relationship Id="rId9" Type="http://schemas.openxmlformats.org/officeDocument/2006/relationships/hyperlink" Target="https://doi.org/10.1016/0957-4166(94)80057-X" TargetMode="External"/><Relationship Id="rId14" Type="http://schemas.openxmlformats.org/officeDocument/2006/relationships/hyperlink" Target="https://doi.org/10.1016/j.jfluchem.2007.04.015" TargetMode="External"/><Relationship Id="rId22" Type="http://schemas.openxmlformats.org/officeDocument/2006/relationships/hyperlink" Target="https://pubs.acs.org/doi/pdf/10.1021/jo00034a034" TargetMode="External"/><Relationship Id="rId27" Type="http://schemas.openxmlformats.org/officeDocument/2006/relationships/hyperlink" Target="https://pubs.acs.org/doi/pdf/10.1021/jo00217a053" TargetMode="External"/><Relationship Id="rId30" Type="http://schemas.openxmlformats.org/officeDocument/2006/relationships/hyperlink" Target="https://pubs.acs.org/doi/pdf/10.1021/jo00217a053" TargetMode="External"/><Relationship Id="rId35" Type="http://schemas.openxmlformats.org/officeDocument/2006/relationships/hyperlink" Target="https://doi.org/10.1021/jm030569l" TargetMode="External"/><Relationship Id="rId43" Type="http://schemas.openxmlformats.org/officeDocument/2006/relationships/hyperlink" Target="https://doi.org/10.1016/0957-4166(94)80056-1" TargetMode="External"/><Relationship Id="rId8" Type="http://schemas.openxmlformats.org/officeDocument/2006/relationships/hyperlink" Target="https://doi.org/10.1016/j.jfluchem.2007.04.015" TargetMode="External"/><Relationship Id="rId3" Type="http://schemas.openxmlformats.org/officeDocument/2006/relationships/hyperlink" Target="https://doi.org/10.1021/ar00013a003" TargetMode="External"/><Relationship Id="rId12" Type="http://schemas.openxmlformats.org/officeDocument/2006/relationships/hyperlink" Target="https://doi.org/10.1016/0957-4166(94)80057-X" TargetMode="External"/><Relationship Id="rId17" Type="http://schemas.openxmlformats.org/officeDocument/2006/relationships/hyperlink" Target="https://doi.org/10.1016/j.jfluchem.2007.04.015" TargetMode="External"/><Relationship Id="rId25" Type="http://schemas.openxmlformats.org/officeDocument/2006/relationships/hyperlink" Target="https://pubs.acs.org/doi/pdf/10.1021/jo00034a034" TargetMode="External"/><Relationship Id="rId33" Type="http://schemas.openxmlformats.org/officeDocument/2006/relationships/hyperlink" Target="https://doi.org/10.1002/ange.201803472" TargetMode="External"/><Relationship Id="rId38" Type="http://schemas.openxmlformats.org/officeDocument/2006/relationships/hyperlink" Target="https://doi.org/10.1016/0957-4166(94)80056-1" TargetMode="External"/><Relationship Id="rId46" Type="http://schemas.openxmlformats.org/officeDocument/2006/relationships/hyperlink" Target="https://doi.org/10.1021/acscatal.1c02714" TargetMode="External"/><Relationship Id="rId20" Type="http://schemas.openxmlformats.org/officeDocument/2006/relationships/hyperlink" Target="https://doi.org/10.1016/j.jfluchem.2007.04.015" TargetMode="External"/><Relationship Id="rId41" Type="http://schemas.openxmlformats.org/officeDocument/2006/relationships/hyperlink" Target="https://doi.org/10.1016/0957-4166(94)80056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L128"/>
  <sheetViews>
    <sheetView showGridLines="0" tabSelected="1" topLeftCell="E1" zoomScaleNormal="100" workbookViewId="0">
      <selection activeCell="I19" sqref="I19"/>
    </sheetView>
  </sheetViews>
  <sheetFormatPr baseColWidth="10" defaultColWidth="9" defaultRowHeight="13"/>
  <cols>
    <col min="1" max="1" width="7.3984375" style="1" customWidth="1"/>
    <col min="2" max="2" width="28.3984375" style="1" bestFit="1" customWidth="1"/>
    <col min="3" max="3" width="44.3984375" style="1" customWidth="1"/>
    <col min="4" max="4" width="11" style="1" bestFit="1" customWidth="1"/>
    <col min="5" max="5" width="7.59765625" style="1" customWidth="1"/>
    <col min="6" max="6" width="15.3984375" style="1" customWidth="1"/>
    <col min="7" max="7" width="12" style="1" customWidth="1"/>
    <col min="8" max="8" width="77.3984375" style="1" customWidth="1"/>
    <col min="9" max="9" width="79.796875" style="1" bestFit="1" customWidth="1"/>
    <col min="10" max="10" width="82" style="1" customWidth="1"/>
    <col min="11" max="1026" width="10" style="1" customWidth="1"/>
  </cols>
  <sheetData>
    <row r="1" spans="1:10" ht="18.5" customHeight="1">
      <c r="A1" s="2" t="s">
        <v>0</v>
      </c>
      <c r="B1" s="2"/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3" t="s">
        <v>7</v>
      </c>
      <c r="J1" s="4" t="s">
        <v>8</v>
      </c>
    </row>
    <row r="2" spans="1:10" ht="18.5" customHeight="1">
      <c r="A2" s="7" t="s">
        <v>9</v>
      </c>
      <c r="B2" s="7" t="s">
        <v>16</v>
      </c>
      <c r="C2" s="2" t="s">
        <v>17</v>
      </c>
      <c r="D2" s="2" t="s">
        <v>29</v>
      </c>
      <c r="E2" s="6">
        <f>50+D2/2</f>
        <v>28.5</v>
      </c>
      <c r="F2" s="2" t="s">
        <v>22</v>
      </c>
      <c r="G2" s="2" t="s">
        <v>23</v>
      </c>
      <c r="H2" s="9" t="s">
        <v>15</v>
      </c>
      <c r="I2" s="3" t="s">
        <v>193</v>
      </c>
      <c r="J2" s="4" t="s">
        <v>358</v>
      </c>
    </row>
    <row r="3" spans="1:10" ht="18.5" customHeight="1">
      <c r="A3" s="7" t="s">
        <v>226</v>
      </c>
      <c r="B3" s="7" t="s">
        <v>26</v>
      </c>
      <c r="C3" s="2" t="s">
        <v>19</v>
      </c>
      <c r="D3" s="2" t="s">
        <v>30</v>
      </c>
      <c r="E3" s="6">
        <f t="shared" ref="E3:E67" si="0">50+D3/2</f>
        <v>19</v>
      </c>
      <c r="F3" s="2" t="s">
        <v>22</v>
      </c>
      <c r="G3" s="2"/>
      <c r="H3" s="9" t="s">
        <v>15</v>
      </c>
      <c r="I3" s="3" t="s">
        <v>193</v>
      </c>
      <c r="J3" s="4"/>
    </row>
    <row r="4" spans="1:10" ht="18.5" customHeight="1">
      <c r="A4" s="7" t="s">
        <v>227</v>
      </c>
      <c r="B4" s="7" t="s">
        <v>27</v>
      </c>
      <c r="C4" s="2" t="s">
        <v>98</v>
      </c>
      <c r="D4" s="2" t="s">
        <v>31</v>
      </c>
      <c r="E4" s="6">
        <f t="shared" si="0"/>
        <v>26</v>
      </c>
      <c r="F4" s="2" t="s">
        <v>22</v>
      </c>
      <c r="G4" s="2"/>
      <c r="H4" s="9" t="s">
        <v>15</v>
      </c>
      <c r="I4" s="3" t="s">
        <v>193</v>
      </c>
      <c r="J4" s="4"/>
    </row>
    <row r="5" spans="1:10" ht="18.5" customHeight="1">
      <c r="A5" s="7" t="s">
        <v>228</v>
      </c>
      <c r="B5" s="7" t="s">
        <v>28</v>
      </c>
      <c r="C5" s="2" t="s">
        <v>99</v>
      </c>
      <c r="D5" s="2" t="s">
        <v>32</v>
      </c>
      <c r="E5" s="6">
        <f t="shared" si="0"/>
        <v>6.5</v>
      </c>
      <c r="F5" s="2" t="s">
        <v>22</v>
      </c>
      <c r="G5" s="2"/>
      <c r="H5" s="9" t="s">
        <v>15</v>
      </c>
      <c r="I5" s="3" t="s">
        <v>193</v>
      </c>
      <c r="J5" s="4"/>
    </row>
    <row r="6" spans="1:10" ht="18.5" customHeight="1">
      <c r="A6" s="7" t="s">
        <v>229</v>
      </c>
      <c r="B6" s="7" t="s">
        <v>33</v>
      </c>
      <c r="C6" s="2" t="s">
        <v>106</v>
      </c>
      <c r="D6" s="2" t="s">
        <v>35</v>
      </c>
      <c r="E6" s="6">
        <f t="shared" si="0"/>
        <v>17.5</v>
      </c>
      <c r="F6" s="2" t="s">
        <v>21</v>
      </c>
      <c r="G6" s="2" t="s">
        <v>12</v>
      </c>
      <c r="H6" s="9" t="s">
        <v>15</v>
      </c>
      <c r="I6" s="3" t="s">
        <v>193</v>
      </c>
      <c r="J6" s="4"/>
    </row>
    <row r="7" spans="1:10" ht="18.5" customHeight="1">
      <c r="A7" s="7" t="s">
        <v>230</v>
      </c>
      <c r="B7" s="7" t="s">
        <v>39</v>
      </c>
      <c r="C7" s="2" t="s">
        <v>107</v>
      </c>
      <c r="D7" s="2" t="s">
        <v>36</v>
      </c>
      <c r="E7" s="6">
        <f t="shared" si="0"/>
        <v>18</v>
      </c>
      <c r="F7" s="2" t="s">
        <v>21</v>
      </c>
      <c r="G7" s="2"/>
      <c r="H7" s="9" t="s">
        <v>15</v>
      </c>
      <c r="I7" s="3" t="s">
        <v>193</v>
      </c>
      <c r="J7" s="4"/>
    </row>
    <row r="8" spans="1:10" ht="18.5" customHeight="1">
      <c r="A8" s="7" t="s">
        <v>231</v>
      </c>
      <c r="B8" s="11" t="s">
        <v>41</v>
      </c>
      <c r="C8" s="2" t="s">
        <v>108</v>
      </c>
      <c r="D8" s="2" t="s">
        <v>37</v>
      </c>
      <c r="E8" s="6">
        <f t="shared" si="0"/>
        <v>40.200000000000003</v>
      </c>
      <c r="F8" s="2" t="s">
        <v>21</v>
      </c>
      <c r="G8" s="2"/>
      <c r="H8" s="9" t="s">
        <v>15</v>
      </c>
      <c r="I8" s="3" t="s">
        <v>193</v>
      </c>
      <c r="J8" s="4"/>
    </row>
    <row r="9" spans="1:10" ht="18.5" customHeight="1">
      <c r="A9" s="7" t="s">
        <v>232</v>
      </c>
      <c r="B9" s="7" t="s">
        <v>40</v>
      </c>
      <c r="C9" s="2" t="s">
        <v>109</v>
      </c>
      <c r="D9" s="2" t="s">
        <v>38</v>
      </c>
      <c r="E9" s="6">
        <f t="shared" si="0"/>
        <v>1.5</v>
      </c>
      <c r="F9" s="2" t="s">
        <v>21</v>
      </c>
      <c r="H9" s="9" t="s">
        <v>15</v>
      </c>
      <c r="I9" s="3" t="s">
        <v>193</v>
      </c>
      <c r="J9" s="4"/>
    </row>
    <row r="10" spans="1:10" ht="18.5" customHeight="1">
      <c r="A10" s="7" t="s">
        <v>233</v>
      </c>
      <c r="B10" s="7" t="s">
        <v>42</v>
      </c>
      <c r="C10" s="2" t="s">
        <v>110</v>
      </c>
      <c r="D10" s="13" t="s">
        <v>56</v>
      </c>
      <c r="E10" s="6">
        <f t="shared" si="0"/>
        <v>89.5</v>
      </c>
      <c r="F10" s="2" t="s">
        <v>21</v>
      </c>
      <c r="G10" s="2" t="s">
        <v>43</v>
      </c>
      <c r="H10" s="9" t="s">
        <v>15</v>
      </c>
      <c r="I10" s="3" t="s">
        <v>193</v>
      </c>
      <c r="J10" s="4"/>
    </row>
    <row r="11" spans="1:10" ht="18.5" customHeight="1">
      <c r="A11" s="7" t="s">
        <v>234</v>
      </c>
      <c r="B11" s="7" t="s">
        <v>44</v>
      </c>
      <c r="C11" s="2" t="s">
        <v>111</v>
      </c>
      <c r="D11" s="14" t="s">
        <v>57</v>
      </c>
      <c r="E11" s="6">
        <f t="shared" si="0"/>
        <v>99.5</v>
      </c>
      <c r="F11" s="2" t="s">
        <v>21</v>
      </c>
      <c r="G11" s="2"/>
      <c r="H11" s="9" t="s">
        <v>15</v>
      </c>
      <c r="I11" s="3" t="s">
        <v>193</v>
      </c>
      <c r="J11" s="4"/>
    </row>
    <row r="12" spans="1:10" ht="18.5" customHeight="1">
      <c r="A12" s="7" t="s">
        <v>77</v>
      </c>
      <c r="B12" s="7" t="s">
        <v>45</v>
      </c>
      <c r="C12" s="2" t="s">
        <v>112</v>
      </c>
      <c r="D12" s="14" t="s">
        <v>359</v>
      </c>
      <c r="E12" s="6">
        <f t="shared" si="0"/>
        <v>60.5</v>
      </c>
      <c r="F12" s="2" t="s">
        <v>21</v>
      </c>
      <c r="G12" s="2"/>
      <c r="H12" s="9" t="s">
        <v>15</v>
      </c>
      <c r="I12" s="3" t="s">
        <v>193</v>
      </c>
      <c r="J12" s="28" t="s">
        <v>360</v>
      </c>
    </row>
    <row r="13" spans="1:10" ht="18.5" customHeight="1">
      <c r="A13" s="7" t="s">
        <v>235</v>
      </c>
      <c r="B13" s="12" t="s">
        <v>47</v>
      </c>
      <c r="C13" s="2" t="s">
        <v>113</v>
      </c>
      <c r="D13" s="2" t="s">
        <v>59</v>
      </c>
      <c r="E13" s="6">
        <f t="shared" si="0"/>
        <v>98.1</v>
      </c>
      <c r="F13" s="2" t="s">
        <v>21</v>
      </c>
      <c r="G13" s="2" t="s">
        <v>46</v>
      </c>
      <c r="H13" s="9" t="s">
        <v>15</v>
      </c>
      <c r="I13" s="3" t="s">
        <v>193</v>
      </c>
      <c r="J13" s="4"/>
    </row>
    <row r="14" spans="1:10" ht="18.5" customHeight="1">
      <c r="A14" s="7" t="s">
        <v>236</v>
      </c>
      <c r="B14" s="7" t="s">
        <v>48</v>
      </c>
      <c r="C14" s="2" t="s">
        <v>114</v>
      </c>
      <c r="D14" s="2" t="s">
        <v>61</v>
      </c>
      <c r="E14" s="6">
        <f t="shared" si="0"/>
        <v>96.5</v>
      </c>
      <c r="F14" s="2" t="s">
        <v>21</v>
      </c>
      <c r="G14" s="2"/>
      <c r="H14" s="9" t="s">
        <v>15</v>
      </c>
      <c r="I14" s="3" t="s">
        <v>193</v>
      </c>
      <c r="J14" s="4"/>
    </row>
    <row r="15" spans="1:10" ht="18.5" customHeight="1">
      <c r="A15" s="7" t="s">
        <v>237</v>
      </c>
      <c r="B15" s="7" t="s">
        <v>49</v>
      </c>
      <c r="C15" s="2" t="s">
        <v>115</v>
      </c>
      <c r="D15" s="2" t="s">
        <v>61</v>
      </c>
      <c r="E15" s="6">
        <f t="shared" si="0"/>
        <v>96.5</v>
      </c>
      <c r="F15" s="2" t="s">
        <v>21</v>
      </c>
      <c r="G15" s="2"/>
      <c r="H15" s="9" t="s">
        <v>15</v>
      </c>
      <c r="I15" s="3" t="s">
        <v>193</v>
      </c>
      <c r="J15" s="4"/>
    </row>
    <row r="16" spans="1:10" ht="18.5" customHeight="1">
      <c r="A16" s="7" t="s">
        <v>238</v>
      </c>
      <c r="B16" s="7" t="s">
        <v>50</v>
      </c>
      <c r="C16" s="2" t="s">
        <v>116</v>
      </c>
      <c r="D16" s="2" t="s">
        <v>62</v>
      </c>
      <c r="E16" s="6">
        <f t="shared" si="0"/>
        <v>98</v>
      </c>
      <c r="F16" s="2" t="s">
        <v>21</v>
      </c>
      <c r="G16" s="2"/>
      <c r="H16" s="9" t="s">
        <v>15</v>
      </c>
      <c r="I16" s="3" t="s">
        <v>193</v>
      </c>
      <c r="J16" s="4"/>
    </row>
    <row r="17" spans="1:10" ht="18.5" customHeight="1">
      <c r="A17" s="7" t="s">
        <v>239</v>
      </c>
      <c r="B17" s="7" t="s">
        <v>51</v>
      </c>
      <c r="C17" s="2" t="s">
        <v>148</v>
      </c>
      <c r="D17" s="2" t="s">
        <v>62</v>
      </c>
      <c r="E17" s="6">
        <f t="shared" si="0"/>
        <v>98</v>
      </c>
      <c r="F17" s="2" t="s">
        <v>21</v>
      </c>
      <c r="G17" s="2"/>
      <c r="H17" s="9" t="s">
        <v>15</v>
      </c>
      <c r="I17" s="3" t="s">
        <v>193</v>
      </c>
      <c r="J17" s="4"/>
    </row>
    <row r="18" spans="1:10" ht="18.5" customHeight="1">
      <c r="A18" s="7" t="s">
        <v>240</v>
      </c>
      <c r="B18" s="7" t="s">
        <v>52</v>
      </c>
      <c r="C18" s="2" t="s">
        <v>149</v>
      </c>
      <c r="D18" s="2" t="s">
        <v>64</v>
      </c>
      <c r="E18" s="6">
        <f t="shared" si="0"/>
        <v>95</v>
      </c>
      <c r="F18" s="2" t="s">
        <v>21</v>
      </c>
      <c r="G18" s="2"/>
      <c r="H18" s="9" t="s">
        <v>15</v>
      </c>
      <c r="I18" s="3" t="s">
        <v>193</v>
      </c>
      <c r="J18" s="4"/>
    </row>
    <row r="19" spans="1:10" ht="18.5" customHeight="1">
      <c r="A19" s="7" t="s">
        <v>137</v>
      </c>
      <c r="B19" s="7" t="s">
        <v>53</v>
      </c>
      <c r="C19" s="2" t="s">
        <v>150</v>
      </c>
      <c r="D19" s="2" t="s">
        <v>66</v>
      </c>
      <c r="E19" s="6">
        <f t="shared" si="0"/>
        <v>67.5</v>
      </c>
      <c r="F19" s="2" t="s">
        <v>21</v>
      </c>
      <c r="G19" s="2"/>
      <c r="H19" s="9" t="s">
        <v>15</v>
      </c>
      <c r="I19" s="3" t="s">
        <v>193</v>
      </c>
      <c r="J19" s="4"/>
    </row>
    <row r="20" spans="1:10" ht="18.5" customHeight="1">
      <c r="A20" s="7" t="s">
        <v>241</v>
      </c>
      <c r="B20" s="7" t="s">
        <v>54</v>
      </c>
      <c r="C20" s="2" t="s">
        <v>151</v>
      </c>
      <c r="D20" s="2" t="s">
        <v>67</v>
      </c>
      <c r="E20" s="6">
        <f t="shared" si="0"/>
        <v>83</v>
      </c>
      <c r="F20" s="2" t="s">
        <v>21</v>
      </c>
      <c r="G20" s="2"/>
      <c r="H20" s="9" t="s">
        <v>15</v>
      </c>
      <c r="I20" s="3" t="s">
        <v>193</v>
      </c>
      <c r="J20" s="4"/>
    </row>
    <row r="21" spans="1:10" ht="18.5" customHeight="1">
      <c r="A21" s="7" t="s">
        <v>242</v>
      </c>
      <c r="B21" s="7" t="s">
        <v>87</v>
      </c>
      <c r="C21" s="2" t="s">
        <v>117</v>
      </c>
      <c r="D21" s="2" t="s">
        <v>80</v>
      </c>
      <c r="E21" s="6">
        <f t="shared" si="0"/>
        <v>7</v>
      </c>
      <c r="F21" s="2" t="s">
        <v>21</v>
      </c>
      <c r="G21" s="2" t="s">
        <v>69</v>
      </c>
      <c r="H21" s="9" t="s">
        <v>15</v>
      </c>
      <c r="I21" s="3" t="s">
        <v>193</v>
      </c>
      <c r="J21" s="4"/>
    </row>
    <row r="22" spans="1:10" ht="18.5" customHeight="1">
      <c r="A22" s="7" t="s">
        <v>243</v>
      </c>
      <c r="B22" s="7" t="s">
        <v>118</v>
      </c>
      <c r="C22" s="2" t="s">
        <v>119</v>
      </c>
      <c r="D22" s="2" t="s">
        <v>81</v>
      </c>
      <c r="E22" s="6">
        <f t="shared" si="0"/>
        <v>8.5</v>
      </c>
      <c r="F22" s="2" t="s">
        <v>21</v>
      </c>
      <c r="G22" s="2"/>
      <c r="H22" s="9" t="s">
        <v>15</v>
      </c>
      <c r="I22" s="3" t="s">
        <v>193</v>
      </c>
      <c r="J22" s="4"/>
    </row>
    <row r="23" spans="1:10" ht="18.5" customHeight="1">
      <c r="A23" s="7" t="s">
        <v>244</v>
      </c>
      <c r="B23" s="7" t="s">
        <v>88</v>
      </c>
      <c r="C23" s="2" t="s">
        <v>120</v>
      </c>
      <c r="D23" s="2" t="s">
        <v>82</v>
      </c>
      <c r="E23" s="6">
        <f t="shared" si="0"/>
        <v>11</v>
      </c>
      <c r="F23" s="2" t="s">
        <v>21</v>
      </c>
      <c r="G23" s="2"/>
      <c r="H23" s="9" t="s">
        <v>15</v>
      </c>
      <c r="I23" s="3" t="s">
        <v>193</v>
      </c>
      <c r="J23" s="4"/>
    </row>
    <row r="24" spans="1:10" ht="18.5" customHeight="1">
      <c r="A24" s="7" t="s">
        <v>245</v>
      </c>
      <c r="B24" s="7" t="s">
        <v>89</v>
      </c>
      <c r="C24" s="2" t="s">
        <v>121</v>
      </c>
      <c r="D24" s="2" t="s">
        <v>83</v>
      </c>
      <c r="E24" s="6">
        <f t="shared" si="0"/>
        <v>4</v>
      </c>
      <c r="F24" s="2" t="s">
        <v>21</v>
      </c>
      <c r="G24" s="2"/>
      <c r="H24" s="9" t="s">
        <v>15</v>
      </c>
      <c r="I24" s="3" t="s">
        <v>193</v>
      </c>
      <c r="J24" s="4"/>
    </row>
    <row r="25" spans="1:10" ht="18.5" customHeight="1">
      <c r="A25" s="7" t="s">
        <v>246</v>
      </c>
      <c r="B25" s="7" t="s">
        <v>152</v>
      </c>
      <c r="C25" s="2" t="s">
        <v>153</v>
      </c>
      <c r="D25" s="2" t="s">
        <v>84</v>
      </c>
      <c r="E25" s="6">
        <f t="shared" si="0"/>
        <v>0</v>
      </c>
      <c r="F25" s="2" t="s">
        <v>186</v>
      </c>
      <c r="G25" s="2"/>
      <c r="H25" s="9" t="s">
        <v>15</v>
      </c>
      <c r="I25" s="3" t="s">
        <v>193</v>
      </c>
      <c r="J25" s="4"/>
    </row>
    <row r="26" spans="1:10" ht="18.5" customHeight="1">
      <c r="A26" s="7" t="s">
        <v>247</v>
      </c>
      <c r="B26" s="7" t="s">
        <v>323</v>
      </c>
      <c r="C26" s="2" t="s">
        <v>324</v>
      </c>
      <c r="D26" s="2" t="s">
        <v>85</v>
      </c>
      <c r="E26" s="6">
        <f t="shared" si="0"/>
        <v>2</v>
      </c>
      <c r="F26" s="2" t="s">
        <v>22</v>
      </c>
      <c r="G26" s="2"/>
      <c r="H26" s="9" t="s">
        <v>15</v>
      </c>
      <c r="I26" s="3" t="s">
        <v>193</v>
      </c>
      <c r="J26" s="4"/>
    </row>
    <row r="27" spans="1:10" ht="18.5" customHeight="1">
      <c r="A27" s="7" t="s">
        <v>248</v>
      </c>
      <c r="B27" s="7" t="s">
        <v>90</v>
      </c>
      <c r="C27" s="15" t="s">
        <v>164</v>
      </c>
      <c r="D27" s="2" t="s">
        <v>85</v>
      </c>
      <c r="E27" s="6">
        <f t="shared" si="0"/>
        <v>2</v>
      </c>
      <c r="F27" s="2" t="s">
        <v>22</v>
      </c>
      <c r="G27" s="2"/>
      <c r="H27" s="9" t="s">
        <v>15</v>
      </c>
      <c r="I27" s="3" t="s">
        <v>193</v>
      </c>
      <c r="J27" s="4"/>
    </row>
    <row r="28" spans="1:10" ht="18.5" customHeight="1">
      <c r="A28" s="7" t="s">
        <v>249</v>
      </c>
      <c r="B28" s="7" t="s">
        <v>91</v>
      </c>
      <c r="C28" s="15" t="s">
        <v>165</v>
      </c>
      <c r="D28" s="2" t="s">
        <v>84</v>
      </c>
      <c r="E28" s="6">
        <f t="shared" si="0"/>
        <v>0</v>
      </c>
      <c r="F28" s="2" t="s">
        <v>186</v>
      </c>
      <c r="G28" s="2"/>
      <c r="H28" s="9" t="s">
        <v>15</v>
      </c>
      <c r="I28" s="3" t="s">
        <v>193</v>
      </c>
      <c r="J28" s="4"/>
    </row>
    <row r="29" spans="1:10" ht="18.5" customHeight="1">
      <c r="A29" s="7" t="s">
        <v>250</v>
      </c>
      <c r="B29" s="7" t="s">
        <v>92</v>
      </c>
      <c r="C29" s="15" t="s">
        <v>166</v>
      </c>
      <c r="D29" s="2" t="s">
        <v>78</v>
      </c>
      <c r="E29" s="6">
        <f t="shared" si="0"/>
        <v>55.5</v>
      </c>
      <c r="F29" s="2" t="s">
        <v>22</v>
      </c>
      <c r="G29" s="2"/>
      <c r="H29" s="9" t="s">
        <v>15</v>
      </c>
      <c r="I29" s="3" t="s">
        <v>193</v>
      </c>
      <c r="J29" s="4"/>
    </row>
    <row r="30" spans="1:10" ht="18.5" customHeight="1">
      <c r="A30" s="7" t="s">
        <v>251</v>
      </c>
      <c r="B30" s="7" t="s">
        <v>93</v>
      </c>
      <c r="C30" s="15" t="s">
        <v>159</v>
      </c>
      <c r="D30" s="2" t="s">
        <v>86</v>
      </c>
      <c r="E30" s="6">
        <f t="shared" si="0"/>
        <v>9</v>
      </c>
      <c r="F30" s="2" t="s">
        <v>22</v>
      </c>
      <c r="G30" s="2"/>
      <c r="H30" s="9" t="s">
        <v>15</v>
      </c>
      <c r="I30" s="3" t="s">
        <v>193</v>
      </c>
      <c r="J30" s="4"/>
    </row>
    <row r="31" spans="1:10" ht="18.5" customHeight="1">
      <c r="A31" s="7" t="s">
        <v>252</v>
      </c>
      <c r="B31" s="7" t="s">
        <v>94</v>
      </c>
      <c r="C31" s="15" t="s">
        <v>160</v>
      </c>
      <c r="D31" s="2" t="s">
        <v>84</v>
      </c>
      <c r="E31" s="6">
        <f t="shared" si="0"/>
        <v>0</v>
      </c>
      <c r="F31" s="2" t="s">
        <v>186</v>
      </c>
      <c r="G31" s="2"/>
      <c r="H31" s="9" t="s">
        <v>15</v>
      </c>
      <c r="I31" s="3" t="s">
        <v>193</v>
      </c>
      <c r="J31" s="4"/>
    </row>
    <row r="32" spans="1:10" ht="18.5" customHeight="1">
      <c r="A32" s="7" t="s">
        <v>253</v>
      </c>
      <c r="B32" s="7" t="s">
        <v>95</v>
      </c>
      <c r="C32" s="15" t="s">
        <v>161</v>
      </c>
      <c r="D32" s="2" t="s">
        <v>64</v>
      </c>
      <c r="E32" s="6">
        <f t="shared" si="0"/>
        <v>95</v>
      </c>
      <c r="F32" s="2" t="s">
        <v>22</v>
      </c>
      <c r="G32" s="2"/>
      <c r="H32" s="9" t="s">
        <v>15</v>
      </c>
      <c r="I32" s="3" t="s">
        <v>193</v>
      </c>
      <c r="J32" s="4"/>
    </row>
    <row r="33" spans="1:10" ht="18.5" customHeight="1">
      <c r="A33" s="7" t="s">
        <v>254</v>
      </c>
      <c r="B33" s="7" t="s">
        <v>96</v>
      </c>
      <c r="C33" s="15" t="s">
        <v>162</v>
      </c>
      <c r="D33" s="2" t="s">
        <v>62</v>
      </c>
      <c r="E33" s="6">
        <f t="shared" si="0"/>
        <v>98</v>
      </c>
      <c r="F33" s="2" t="s">
        <v>22</v>
      </c>
      <c r="G33" s="2"/>
      <c r="H33" s="9" t="s">
        <v>15</v>
      </c>
      <c r="I33" s="3" t="s">
        <v>193</v>
      </c>
      <c r="J33" s="4"/>
    </row>
    <row r="34" spans="1:10" ht="18.5" customHeight="1">
      <c r="A34" s="7" t="s">
        <v>255</v>
      </c>
      <c r="B34" s="7" t="s">
        <v>97</v>
      </c>
      <c r="C34" s="15" t="s">
        <v>163</v>
      </c>
      <c r="D34" s="2" t="s">
        <v>76</v>
      </c>
      <c r="E34" s="6">
        <f t="shared" si="0"/>
        <v>100</v>
      </c>
      <c r="F34" s="2" t="s">
        <v>22</v>
      </c>
      <c r="G34" s="2"/>
      <c r="H34" s="9" t="s">
        <v>15</v>
      </c>
      <c r="I34" s="3" t="s">
        <v>193</v>
      </c>
      <c r="J34" s="4"/>
    </row>
    <row r="35" spans="1:10" ht="18.5" customHeight="1">
      <c r="A35" s="7" t="s">
        <v>130</v>
      </c>
      <c r="B35" s="22"/>
      <c r="C35" s="23" t="s">
        <v>305</v>
      </c>
      <c r="D35" s="2" t="s">
        <v>58</v>
      </c>
      <c r="E35" s="6">
        <f t="shared" si="0"/>
        <v>99</v>
      </c>
      <c r="F35" s="2" t="s">
        <v>21</v>
      </c>
      <c r="G35" s="2"/>
      <c r="H35" s="9" t="s">
        <v>316</v>
      </c>
      <c r="I35" s="3" t="s">
        <v>317</v>
      </c>
      <c r="J35" s="4"/>
    </row>
    <row r="36" spans="1:10" ht="18.5" customHeight="1">
      <c r="A36" s="7" t="s">
        <v>65</v>
      </c>
      <c r="B36" s="22"/>
      <c r="C36" s="23" t="s">
        <v>306</v>
      </c>
      <c r="D36" s="2" t="s">
        <v>313</v>
      </c>
      <c r="E36" s="6">
        <f t="shared" si="0"/>
        <v>97</v>
      </c>
      <c r="F36" s="2" t="s">
        <v>21</v>
      </c>
      <c r="G36" s="2"/>
      <c r="H36" s="9" t="s">
        <v>316</v>
      </c>
      <c r="I36" s="3" t="s">
        <v>317</v>
      </c>
      <c r="J36" s="4"/>
    </row>
    <row r="37" spans="1:10" ht="18.5" customHeight="1">
      <c r="A37" s="7" t="s">
        <v>256</v>
      </c>
      <c r="B37" s="22"/>
      <c r="C37" s="23" t="s">
        <v>307</v>
      </c>
      <c r="D37" s="2" t="s">
        <v>75</v>
      </c>
      <c r="E37" s="6">
        <f t="shared" si="0"/>
        <v>96</v>
      </c>
      <c r="F37" s="2" t="s">
        <v>21</v>
      </c>
      <c r="G37" s="2"/>
      <c r="H37" s="9" t="s">
        <v>316</v>
      </c>
      <c r="I37" s="3" t="s">
        <v>317</v>
      </c>
      <c r="J37" s="4"/>
    </row>
    <row r="38" spans="1:10" ht="18.5" customHeight="1">
      <c r="A38" s="7" t="s">
        <v>257</v>
      </c>
      <c r="B38" s="22"/>
      <c r="C38" s="23" t="s">
        <v>308</v>
      </c>
      <c r="D38" s="2" t="s">
        <v>314</v>
      </c>
      <c r="E38" s="6">
        <f t="shared" si="0"/>
        <v>97.5</v>
      </c>
      <c r="F38" s="2" t="s">
        <v>21</v>
      </c>
      <c r="G38" s="2"/>
      <c r="H38" s="9" t="s">
        <v>316</v>
      </c>
      <c r="I38" s="3" t="s">
        <v>317</v>
      </c>
      <c r="J38" s="4"/>
    </row>
    <row r="39" spans="1:10" ht="18.5" customHeight="1">
      <c r="A39" s="7" t="s">
        <v>124</v>
      </c>
      <c r="B39" s="22"/>
      <c r="C39" s="23" t="s">
        <v>309</v>
      </c>
      <c r="D39" s="2" t="s">
        <v>315</v>
      </c>
      <c r="E39" s="6">
        <f t="shared" si="0"/>
        <v>92.5</v>
      </c>
      <c r="F39" s="2" t="s">
        <v>21</v>
      </c>
      <c r="G39" s="2"/>
      <c r="H39" s="9" t="s">
        <v>316</v>
      </c>
      <c r="I39" s="3" t="s">
        <v>317</v>
      </c>
      <c r="J39" s="4"/>
    </row>
    <row r="40" spans="1:10" ht="18.5" customHeight="1">
      <c r="A40" s="7" t="s">
        <v>258</v>
      </c>
      <c r="B40" s="11" t="s">
        <v>122</v>
      </c>
      <c r="C40" s="2" t="s">
        <v>154</v>
      </c>
      <c r="D40" s="2" t="s">
        <v>132</v>
      </c>
      <c r="E40" s="6">
        <f t="shared" si="0"/>
        <v>25.5</v>
      </c>
      <c r="F40" s="2" t="s">
        <v>22</v>
      </c>
      <c r="G40" s="2"/>
      <c r="H40" s="9" t="s">
        <v>10</v>
      </c>
      <c r="I40" s="5" t="s">
        <v>11</v>
      </c>
      <c r="J40" s="4"/>
    </row>
    <row r="41" spans="1:10" ht="18.5" customHeight="1">
      <c r="A41" s="7" t="s">
        <v>259</v>
      </c>
      <c r="B41" s="7" t="s">
        <v>123</v>
      </c>
      <c r="C41" s="2" t="s">
        <v>155</v>
      </c>
      <c r="D41" s="2" t="s">
        <v>133</v>
      </c>
      <c r="E41" s="6">
        <f t="shared" si="0"/>
        <v>31</v>
      </c>
      <c r="F41" s="2" t="s">
        <v>22</v>
      </c>
      <c r="G41" s="2"/>
      <c r="H41" s="9" t="s">
        <v>10</v>
      </c>
      <c r="I41" s="5" t="s">
        <v>11</v>
      </c>
      <c r="J41" s="4"/>
    </row>
    <row r="42" spans="1:10" ht="18.5" customHeight="1">
      <c r="A42" s="7" t="s">
        <v>260</v>
      </c>
      <c r="B42" s="7" t="s">
        <v>126</v>
      </c>
      <c r="C42" s="2" t="s">
        <v>156</v>
      </c>
      <c r="D42" s="2" t="s">
        <v>134</v>
      </c>
      <c r="E42" s="6">
        <f t="shared" si="0"/>
        <v>33</v>
      </c>
      <c r="F42" s="2" t="s">
        <v>22</v>
      </c>
      <c r="G42" s="2"/>
      <c r="H42" s="9" t="s">
        <v>10</v>
      </c>
      <c r="I42" s="5" t="s">
        <v>11</v>
      </c>
      <c r="J42" s="4"/>
    </row>
    <row r="43" spans="1:10" ht="18.5" customHeight="1">
      <c r="A43" s="7" t="s">
        <v>261</v>
      </c>
      <c r="B43" s="7" t="s">
        <v>127</v>
      </c>
      <c r="C43" s="2" t="s">
        <v>281</v>
      </c>
      <c r="D43" s="2" t="s">
        <v>135</v>
      </c>
      <c r="E43" s="6">
        <f t="shared" si="0"/>
        <v>5</v>
      </c>
      <c r="F43" s="2" t="s">
        <v>22</v>
      </c>
      <c r="G43" s="2"/>
      <c r="H43" s="9" t="s">
        <v>10</v>
      </c>
      <c r="I43" s="5" t="s">
        <v>11</v>
      </c>
      <c r="J43" s="4"/>
    </row>
    <row r="44" spans="1:10" ht="18.5" customHeight="1">
      <c r="A44" s="7" t="s">
        <v>18</v>
      </c>
      <c r="B44" s="7" t="s">
        <v>128</v>
      </c>
      <c r="C44" s="2" t="s">
        <v>157</v>
      </c>
      <c r="D44" s="2" t="s">
        <v>136</v>
      </c>
      <c r="E44" s="6">
        <f t="shared" si="0"/>
        <v>24</v>
      </c>
      <c r="F44" s="2" t="s">
        <v>22</v>
      </c>
      <c r="G44" s="2"/>
      <c r="H44" s="9" t="s">
        <v>10</v>
      </c>
      <c r="I44" s="5" t="s">
        <v>11</v>
      </c>
      <c r="J44" s="4"/>
    </row>
    <row r="45" spans="1:10" ht="18.5" customHeight="1">
      <c r="A45" s="7" t="s">
        <v>262</v>
      </c>
      <c r="B45" s="7" t="s">
        <v>129</v>
      </c>
      <c r="C45" s="2" t="s">
        <v>158</v>
      </c>
      <c r="D45" s="2" t="s">
        <v>138</v>
      </c>
      <c r="E45" s="6">
        <f t="shared" si="0"/>
        <v>12.5</v>
      </c>
      <c r="F45" s="2" t="s">
        <v>22</v>
      </c>
      <c r="G45" s="2"/>
      <c r="H45" s="9" t="s">
        <v>10</v>
      </c>
      <c r="I45" s="5" t="s">
        <v>11</v>
      </c>
      <c r="J45" s="4"/>
    </row>
    <row r="46" spans="1:10" ht="18.5" customHeight="1">
      <c r="A46" s="7" t="s">
        <v>263</v>
      </c>
      <c r="B46" s="7" t="s">
        <v>187</v>
      </c>
      <c r="C46" s="2" t="s">
        <v>188</v>
      </c>
      <c r="D46" s="2" t="s">
        <v>361</v>
      </c>
      <c r="E46" s="2">
        <f t="shared" si="0"/>
        <v>17.25</v>
      </c>
      <c r="F46" s="2" t="s">
        <v>22</v>
      </c>
      <c r="G46" s="2" t="s">
        <v>46</v>
      </c>
      <c r="H46" s="9" t="s">
        <v>10</v>
      </c>
      <c r="I46" s="5" t="s">
        <v>11</v>
      </c>
      <c r="J46" s="4"/>
    </row>
    <row r="47" spans="1:10" ht="18.5" customHeight="1">
      <c r="A47" s="7" t="s">
        <v>264</v>
      </c>
      <c r="B47" s="7" t="s">
        <v>189</v>
      </c>
      <c r="C47" s="2" t="s">
        <v>190</v>
      </c>
      <c r="D47" s="2" t="s">
        <v>191</v>
      </c>
      <c r="E47" s="2">
        <f t="shared" si="0"/>
        <v>50</v>
      </c>
      <c r="F47" s="2" t="s">
        <v>21</v>
      </c>
      <c r="G47" s="2"/>
      <c r="H47" s="9" t="s">
        <v>10</v>
      </c>
      <c r="I47" s="5" t="s">
        <v>11</v>
      </c>
      <c r="J47" s="4"/>
    </row>
    <row r="48" spans="1:10" ht="18.5" customHeight="1">
      <c r="A48" s="7" t="s">
        <v>265</v>
      </c>
      <c r="B48" s="7" t="s">
        <v>192</v>
      </c>
      <c r="C48" s="2" t="s">
        <v>282</v>
      </c>
      <c r="D48" s="2" t="s">
        <v>191</v>
      </c>
      <c r="E48" s="2">
        <f t="shared" si="0"/>
        <v>50</v>
      </c>
      <c r="F48" s="2" t="s">
        <v>21</v>
      </c>
      <c r="G48" s="2"/>
      <c r="H48" s="9" t="s">
        <v>10</v>
      </c>
      <c r="I48" s="5" t="s">
        <v>11</v>
      </c>
      <c r="J48" s="4"/>
    </row>
    <row r="49" spans="1:10" ht="18.5" customHeight="1">
      <c r="A49" s="7" t="s">
        <v>24</v>
      </c>
      <c r="B49" s="7"/>
      <c r="C49" s="2" t="s">
        <v>283</v>
      </c>
      <c r="D49" s="2" t="s">
        <v>191</v>
      </c>
      <c r="E49" s="2">
        <f t="shared" si="0"/>
        <v>50</v>
      </c>
      <c r="F49" s="2" t="s">
        <v>21</v>
      </c>
      <c r="G49" s="2"/>
      <c r="H49" s="9" t="s">
        <v>10</v>
      </c>
      <c r="I49" s="5" t="s">
        <v>11</v>
      </c>
      <c r="J49" s="4"/>
    </row>
    <row r="50" spans="1:10" ht="18.5" customHeight="1">
      <c r="A50" s="7" t="s">
        <v>125</v>
      </c>
      <c r="B50" s="7"/>
      <c r="C50" s="2" t="s">
        <v>284</v>
      </c>
      <c r="D50" s="2" t="s">
        <v>75</v>
      </c>
      <c r="E50" s="2">
        <f t="shared" si="0"/>
        <v>96</v>
      </c>
      <c r="F50" s="2" t="s">
        <v>21</v>
      </c>
      <c r="G50" s="2"/>
      <c r="H50" s="9" t="s">
        <v>10</v>
      </c>
      <c r="I50" s="5" t="s">
        <v>11</v>
      </c>
      <c r="J50" s="4"/>
    </row>
    <row r="51" spans="1:10" ht="18.5" customHeight="1">
      <c r="A51" s="7" t="s">
        <v>266</v>
      </c>
      <c r="B51" s="7"/>
      <c r="C51" s="2" t="s">
        <v>287</v>
      </c>
      <c r="D51" s="2" t="s">
        <v>286</v>
      </c>
      <c r="E51" s="2">
        <f t="shared" si="0"/>
        <v>99.2</v>
      </c>
      <c r="F51" s="2" t="s">
        <v>21</v>
      </c>
      <c r="G51" s="2"/>
      <c r="H51" s="9" t="s">
        <v>10</v>
      </c>
      <c r="I51" s="5" t="s">
        <v>11</v>
      </c>
      <c r="J51" s="4"/>
    </row>
    <row r="52" spans="1:10" ht="18.5" customHeight="1">
      <c r="A52" s="7" t="s">
        <v>267</v>
      </c>
      <c r="B52" s="7"/>
      <c r="C52" s="2" t="s">
        <v>285</v>
      </c>
      <c r="D52" s="2" t="s">
        <v>75</v>
      </c>
      <c r="E52" s="2">
        <f t="shared" si="0"/>
        <v>96</v>
      </c>
      <c r="F52" s="2" t="s">
        <v>21</v>
      </c>
      <c r="G52" s="2"/>
      <c r="H52" s="9" t="s">
        <v>10</v>
      </c>
      <c r="I52" s="5" t="s">
        <v>11</v>
      </c>
      <c r="J52" s="4"/>
    </row>
    <row r="53" spans="1:10" ht="18.5" customHeight="1">
      <c r="A53" s="7" t="s">
        <v>131</v>
      </c>
      <c r="B53" s="7" t="s">
        <v>140</v>
      </c>
      <c r="C53" s="16" t="s">
        <v>167</v>
      </c>
      <c r="D53" s="2" t="s">
        <v>84</v>
      </c>
      <c r="E53" s="2">
        <f t="shared" si="0"/>
        <v>0</v>
      </c>
      <c r="F53" s="2" t="s">
        <v>21</v>
      </c>
      <c r="G53" s="2" t="s">
        <v>23</v>
      </c>
      <c r="H53" s="10" t="s">
        <v>13</v>
      </c>
      <c r="I53" s="3" t="s">
        <v>194</v>
      </c>
      <c r="J53" s="4"/>
    </row>
    <row r="54" spans="1:10" ht="18.5" customHeight="1">
      <c r="A54" s="7" t="s">
        <v>268</v>
      </c>
      <c r="B54" s="7" t="s">
        <v>141</v>
      </c>
      <c r="C54" s="16" t="s">
        <v>168</v>
      </c>
      <c r="D54" s="2" t="s">
        <v>68</v>
      </c>
      <c r="E54" s="2">
        <f t="shared" si="0"/>
        <v>1</v>
      </c>
      <c r="F54" s="2" t="s">
        <v>21</v>
      </c>
      <c r="G54" s="2"/>
      <c r="H54" s="10" t="s">
        <v>13</v>
      </c>
      <c r="I54" s="3" t="s">
        <v>194</v>
      </c>
      <c r="J54" s="4"/>
    </row>
    <row r="55" spans="1:10" ht="18.5" customHeight="1">
      <c r="A55" s="7" t="s">
        <v>269</v>
      </c>
      <c r="B55" s="7" t="s">
        <v>142</v>
      </c>
      <c r="C55" s="16" t="s">
        <v>169</v>
      </c>
      <c r="D55" s="2" t="s">
        <v>139</v>
      </c>
      <c r="E55" s="2">
        <f t="shared" si="0"/>
        <v>8</v>
      </c>
      <c r="F55" s="2" t="s">
        <v>21</v>
      </c>
      <c r="G55" s="2"/>
      <c r="H55" s="10" t="s">
        <v>13</v>
      </c>
      <c r="I55" s="3" t="s">
        <v>194</v>
      </c>
      <c r="J55" s="4"/>
    </row>
    <row r="56" spans="1:10" ht="18.5" customHeight="1">
      <c r="A56" s="7" t="s">
        <v>270</v>
      </c>
      <c r="B56" s="7" t="s">
        <v>143</v>
      </c>
      <c r="C56" s="16" t="s">
        <v>170</v>
      </c>
      <c r="D56" s="2" t="s">
        <v>68</v>
      </c>
      <c r="E56" s="2">
        <f t="shared" si="0"/>
        <v>1</v>
      </c>
      <c r="F56" s="2" t="s">
        <v>21</v>
      </c>
      <c r="G56" s="2"/>
      <c r="H56" s="10" t="s">
        <v>13</v>
      </c>
      <c r="I56" s="3" t="s">
        <v>194</v>
      </c>
      <c r="J56" s="4"/>
    </row>
    <row r="57" spans="1:10" ht="18.5" customHeight="1">
      <c r="A57" s="7" t="s">
        <v>271</v>
      </c>
      <c r="B57" s="7" t="s">
        <v>144</v>
      </c>
      <c r="C57" s="16" t="s">
        <v>171</v>
      </c>
      <c r="D57" s="2" t="s">
        <v>84</v>
      </c>
      <c r="E57" s="2">
        <f t="shared" si="0"/>
        <v>0</v>
      </c>
      <c r="F57" s="2" t="s">
        <v>21</v>
      </c>
      <c r="G57" s="2"/>
      <c r="H57" s="10" t="s">
        <v>13</v>
      </c>
      <c r="I57" s="3" t="s">
        <v>194</v>
      </c>
      <c r="J57" s="4"/>
    </row>
    <row r="58" spans="1:10" ht="18.5" customHeight="1">
      <c r="A58" s="7" t="s">
        <v>272</v>
      </c>
      <c r="B58" s="7" t="s">
        <v>145</v>
      </c>
      <c r="C58" s="16" t="s">
        <v>172</v>
      </c>
      <c r="D58" s="2" t="s">
        <v>84</v>
      </c>
      <c r="E58" s="2">
        <f t="shared" si="0"/>
        <v>0</v>
      </c>
      <c r="F58" s="2" t="s">
        <v>21</v>
      </c>
      <c r="G58" s="2"/>
      <c r="H58" s="10" t="s">
        <v>13</v>
      </c>
      <c r="I58" s="3" t="s">
        <v>194</v>
      </c>
      <c r="J58" s="4"/>
    </row>
    <row r="59" spans="1:10" ht="18.5" customHeight="1">
      <c r="A59" s="7" t="s">
        <v>273</v>
      </c>
      <c r="B59" s="7" t="s">
        <v>146</v>
      </c>
      <c r="C59" s="16" t="s">
        <v>173</v>
      </c>
      <c r="D59" s="2" t="s">
        <v>32</v>
      </c>
      <c r="E59" s="2">
        <f t="shared" si="0"/>
        <v>6.5</v>
      </c>
      <c r="F59" s="2" t="s">
        <v>21</v>
      </c>
      <c r="G59" s="2"/>
      <c r="H59" s="10" t="s">
        <v>13</v>
      </c>
      <c r="I59" s="3" t="s">
        <v>194</v>
      </c>
      <c r="J59" s="4"/>
    </row>
    <row r="60" spans="1:10" ht="18.5" customHeight="1">
      <c r="A60" s="7" t="s">
        <v>274</v>
      </c>
      <c r="B60" s="7"/>
      <c r="C60" s="17" t="s">
        <v>174</v>
      </c>
      <c r="D60" s="18">
        <v>89</v>
      </c>
      <c r="E60" s="2">
        <f t="shared" si="0"/>
        <v>94.5</v>
      </c>
      <c r="F60" s="2" t="s">
        <v>21</v>
      </c>
      <c r="G60" s="2" t="s">
        <v>147</v>
      </c>
      <c r="H60" s="10" t="s">
        <v>13</v>
      </c>
      <c r="I60" s="3" t="s">
        <v>194</v>
      </c>
      <c r="J60" s="4"/>
    </row>
    <row r="61" spans="1:10" ht="18.5" customHeight="1">
      <c r="A61" s="7" t="s">
        <v>275</v>
      </c>
      <c r="B61" s="7"/>
      <c r="C61" s="17" t="s">
        <v>175</v>
      </c>
      <c r="D61" s="18">
        <v>77</v>
      </c>
      <c r="E61" s="2">
        <f t="shared" si="0"/>
        <v>88.5</v>
      </c>
      <c r="F61" s="2" t="s">
        <v>21</v>
      </c>
      <c r="G61" s="2"/>
      <c r="H61" s="10" t="s">
        <v>13</v>
      </c>
      <c r="I61" s="3" t="s">
        <v>194</v>
      </c>
      <c r="J61" s="4"/>
    </row>
    <row r="62" spans="1:10" ht="18.5" customHeight="1">
      <c r="A62" s="7" t="s">
        <v>333</v>
      </c>
      <c r="B62" s="7"/>
      <c r="C62" s="17" t="s">
        <v>176</v>
      </c>
      <c r="D62" s="18">
        <v>85</v>
      </c>
      <c r="E62" s="2">
        <f t="shared" si="0"/>
        <v>92.5</v>
      </c>
      <c r="F62" s="2" t="s">
        <v>21</v>
      </c>
      <c r="G62" s="2"/>
      <c r="H62" s="10" t="s">
        <v>13</v>
      </c>
      <c r="I62" s="3" t="s">
        <v>194</v>
      </c>
      <c r="J62" s="4"/>
    </row>
    <row r="63" spans="1:10" ht="18.5" customHeight="1">
      <c r="A63" s="7" t="s">
        <v>20</v>
      </c>
      <c r="B63" s="7"/>
      <c r="C63" s="17" t="s">
        <v>177</v>
      </c>
      <c r="D63" s="18">
        <v>92</v>
      </c>
      <c r="E63" s="2">
        <f t="shared" si="0"/>
        <v>96</v>
      </c>
      <c r="F63" s="2" t="s">
        <v>21</v>
      </c>
      <c r="G63" s="2"/>
      <c r="H63" s="10" t="s">
        <v>13</v>
      </c>
      <c r="I63" s="3" t="s">
        <v>194</v>
      </c>
      <c r="J63" s="4"/>
    </row>
    <row r="64" spans="1:10" ht="18.5" customHeight="1">
      <c r="A64" s="7" t="s">
        <v>276</v>
      </c>
      <c r="B64" s="7"/>
      <c r="C64" s="17" t="s">
        <v>178</v>
      </c>
      <c r="D64" s="18">
        <v>98</v>
      </c>
      <c r="E64" s="2">
        <f t="shared" si="0"/>
        <v>99</v>
      </c>
      <c r="F64" s="2" t="s">
        <v>21</v>
      </c>
      <c r="G64" s="2"/>
      <c r="H64" s="10" t="s">
        <v>13</v>
      </c>
      <c r="I64" s="3" t="s">
        <v>194</v>
      </c>
      <c r="J64" s="4"/>
    </row>
    <row r="65" spans="1:10" ht="18.5" customHeight="1">
      <c r="A65" s="7" t="s">
        <v>334</v>
      </c>
      <c r="B65" s="7"/>
      <c r="C65" s="17" t="s">
        <v>179</v>
      </c>
      <c r="D65" s="19">
        <v>77</v>
      </c>
      <c r="E65" s="2">
        <f t="shared" si="0"/>
        <v>88.5</v>
      </c>
      <c r="F65" s="2" t="s">
        <v>21</v>
      </c>
      <c r="G65" s="2"/>
      <c r="H65" s="10" t="s">
        <v>13</v>
      </c>
      <c r="I65" s="3" t="s">
        <v>194</v>
      </c>
      <c r="J65" s="4"/>
    </row>
    <row r="66" spans="1:10" ht="18.5" customHeight="1">
      <c r="A66" s="7" t="s">
        <v>34</v>
      </c>
      <c r="B66" s="7"/>
      <c r="C66" s="17" t="s">
        <v>180</v>
      </c>
      <c r="D66" s="19">
        <v>96</v>
      </c>
      <c r="E66" s="2">
        <f t="shared" si="0"/>
        <v>98</v>
      </c>
      <c r="F66" s="2" t="s">
        <v>21</v>
      </c>
      <c r="G66" s="2"/>
      <c r="H66" s="10" t="s">
        <v>13</v>
      </c>
      <c r="I66" s="3" t="s">
        <v>194</v>
      </c>
      <c r="J66" s="4"/>
    </row>
    <row r="67" spans="1:10" ht="18.5" customHeight="1">
      <c r="A67" s="7" t="s">
        <v>335</v>
      </c>
      <c r="B67" s="7"/>
      <c r="C67" s="17" t="s">
        <v>181</v>
      </c>
      <c r="D67" s="19">
        <v>92</v>
      </c>
      <c r="E67" s="2">
        <f t="shared" si="0"/>
        <v>96</v>
      </c>
      <c r="F67" s="2" t="s">
        <v>21</v>
      </c>
      <c r="G67" s="2"/>
      <c r="H67" s="10" t="s">
        <v>13</v>
      </c>
      <c r="I67" s="3" t="s">
        <v>194</v>
      </c>
      <c r="J67" s="4"/>
    </row>
    <row r="68" spans="1:10" ht="18.5" customHeight="1">
      <c r="A68" s="7" t="s">
        <v>277</v>
      </c>
      <c r="B68" s="7"/>
      <c r="C68" s="17" t="s">
        <v>182</v>
      </c>
      <c r="D68" s="19">
        <v>100</v>
      </c>
      <c r="E68" s="2">
        <f t="shared" ref="E68:E105" si="1">50+D68/2</f>
        <v>100</v>
      </c>
      <c r="F68" s="2" t="s">
        <v>21</v>
      </c>
      <c r="G68" s="2"/>
      <c r="H68" s="10" t="s">
        <v>13</v>
      </c>
      <c r="I68" s="3" t="s">
        <v>194</v>
      </c>
      <c r="J68" s="4"/>
    </row>
    <row r="69" spans="1:10" ht="18.5" customHeight="1">
      <c r="A69" s="7" t="s">
        <v>278</v>
      </c>
      <c r="B69" s="7"/>
      <c r="C69" s="16" t="s">
        <v>183</v>
      </c>
      <c r="D69" s="19">
        <v>90</v>
      </c>
      <c r="E69" s="2">
        <f t="shared" si="1"/>
        <v>95</v>
      </c>
      <c r="F69" s="2" t="s">
        <v>21</v>
      </c>
      <c r="G69" s="2"/>
      <c r="H69" s="10" t="s">
        <v>13</v>
      </c>
      <c r="I69" s="3" t="s">
        <v>194</v>
      </c>
      <c r="J69" s="4"/>
    </row>
    <row r="70" spans="1:10" ht="18.5" customHeight="1">
      <c r="A70" s="7" t="s">
        <v>279</v>
      </c>
      <c r="B70" s="7"/>
      <c r="C70" s="16" t="s">
        <v>184</v>
      </c>
      <c r="D70" s="19">
        <v>98</v>
      </c>
      <c r="E70" s="2">
        <f t="shared" si="1"/>
        <v>99</v>
      </c>
      <c r="F70" s="2" t="s">
        <v>21</v>
      </c>
      <c r="G70" s="2"/>
      <c r="H70" s="10" t="s">
        <v>13</v>
      </c>
      <c r="I70" s="3" t="s">
        <v>194</v>
      </c>
      <c r="J70" s="4"/>
    </row>
    <row r="71" spans="1:10" ht="18.5" customHeight="1">
      <c r="A71" s="7" t="s">
        <v>280</v>
      </c>
      <c r="B71" s="7"/>
      <c r="C71" s="16" t="s">
        <v>185</v>
      </c>
      <c r="D71" s="19">
        <v>73</v>
      </c>
      <c r="E71" s="2">
        <f t="shared" si="1"/>
        <v>86.5</v>
      </c>
      <c r="F71" s="2" t="s">
        <v>21</v>
      </c>
      <c r="G71" s="2"/>
      <c r="H71" s="10" t="s">
        <v>13</v>
      </c>
      <c r="I71" s="3" t="s">
        <v>194</v>
      </c>
      <c r="J71" s="4"/>
    </row>
    <row r="72" spans="1:10" ht="18.5" customHeight="1">
      <c r="A72" s="7" t="s">
        <v>294</v>
      </c>
      <c r="B72" s="7"/>
      <c r="C72" s="16" t="s">
        <v>288</v>
      </c>
      <c r="D72" s="20">
        <v>97</v>
      </c>
      <c r="E72" s="2">
        <f t="shared" si="1"/>
        <v>98.5</v>
      </c>
      <c r="F72" s="2" t="s">
        <v>100</v>
      </c>
      <c r="G72" s="2"/>
      <c r="H72" s="10" t="s">
        <v>225</v>
      </c>
      <c r="I72" s="21" t="s">
        <v>304</v>
      </c>
      <c r="J72" s="4"/>
    </row>
    <row r="73" spans="1:10" ht="18.5" customHeight="1">
      <c r="A73" s="7" t="s">
        <v>295</v>
      </c>
      <c r="B73" s="7"/>
      <c r="C73" s="16" t="s">
        <v>289</v>
      </c>
      <c r="D73" s="20">
        <v>99</v>
      </c>
      <c r="E73" s="2">
        <f t="shared" si="1"/>
        <v>99.5</v>
      </c>
      <c r="F73" s="2" t="s">
        <v>101</v>
      </c>
      <c r="G73" s="2"/>
      <c r="H73" s="10" t="s">
        <v>225</v>
      </c>
      <c r="I73" s="21" t="s">
        <v>304</v>
      </c>
      <c r="J73" s="4"/>
    </row>
    <row r="74" spans="1:10" ht="18.5" customHeight="1">
      <c r="A74" s="7" t="s">
        <v>296</v>
      </c>
      <c r="B74" s="7"/>
      <c r="C74" s="16" t="s">
        <v>290</v>
      </c>
      <c r="D74" s="20">
        <v>99</v>
      </c>
      <c r="E74" s="2">
        <f t="shared" si="1"/>
        <v>99.5</v>
      </c>
      <c r="F74" s="2" t="s">
        <v>102</v>
      </c>
      <c r="G74" s="2"/>
      <c r="H74" s="10" t="s">
        <v>225</v>
      </c>
      <c r="I74" s="21" t="s">
        <v>304</v>
      </c>
      <c r="J74" s="4"/>
    </row>
    <row r="75" spans="1:10" ht="18.5" customHeight="1">
      <c r="A75" s="7" t="s">
        <v>297</v>
      </c>
      <c r="B75" s="7"/>
      <c r="C75" s="16" t="s">
        <v>291</v>
      </c>
      <c r="D75" s="20">
        <v>99</v>
      </c>
      <c r="E75" s="2">
        <f t="shared" si="1"/>
        <v>99.5</v>
      </c>
      <c r="F75" s="2" t="s">
        <v>103</v>
      </c>
      <c r="G75" s="2"/>
      <c r="H75" s="10" t="s">
        <v>225</v>
      </c>
      <c r="I75" s="21" t="s">
        <v>304</v>
      </c>
      <c r="J75" s="4"/>
    </row>
    <row r="76" spans="1:10" ht="18.5" customHeight="1">
      <c r="A76" s="7" t="s">
        <v>336</v>
      </c>
      <c r="B76" s="7"/>
      <c r="C76" s="16" t="s">
        <v>292</v>
      </c>
      <c r="D76" s="20">
        <v>80</v>
      </c>
      <c r="E76" s="2">
        <f t="shared" si="1"/>
        <v>90</v>
      </c>
      <c r="F76" s="2" t="s">
        <v>104</v>
      </c>
      <c r="G76" s="2"/>
      <c r="H76" s="10" t="s">
        <v>225</v>
      </c>
      <c r="I76" s="21" t="s">
        <v>304</v>
      </c>
      <c r="J76" s="4"/>
    </row>
    <row r="77" spans="1:10" ht="18.5" customHeight="1">
      <c r="A77" s="7" t="s">
        <v>337</v>
      </c>
      <c r="B77" s="7"/>
      <c r="C77" s="16" t="s">
        <v>293</v>
      </c>
      <c r="D77" s="20">
        <v>80</v>
      </c>
      <c r="E77" s="2">
        <f t="shared" si="1"/>
        <v>90</v>
      </c>
      <c r="F77" s="2" t="s">
        <v>105</v>
      </c>
      <c r="G77" s="2"/>
      <c r="H77" s="10" t="s">
        <v>225</v>
      </c>
      <c r="I77" s="21" t="s">
        <v>304</v>
      </c>
      <c r="J77" s="4"/>
    </row>
    <row r="78" spans="1:10" ht="18.5" customHeight="1">
      <c r="A78" s="7" t="s">
        <v>298</v>
      </c>
      <c r="B78" s="7"/>
      <c r="C78" s="16" t="s">
        <v>341</v>
      </c>
      <c r="D78" s="20">
        <v>-98</v>
      </c>
      <c r="E78" s="2">
        <f t="shared" si="1"/>
        <v>1</v>
      </c>
      <c r="F78" s="2" t="s">
        <v>22</v>
      </c>
      <c r="G78" s="2"/>
      <c r="H78" s="10" t="s">
        <v>351</v>
      </c>
      <c r="I78" s="21" t="s">
        <v>352</v>
      </c>
      <c r="J78" s="4"/>
    </row>
    <row r="79" spans="1:10" ht="18.5" customHeight="1">
      <c r="A79" s="7" t="s">
        <v>73</v>
      </c>
      <c r="B79" s="7"/>
      <c r="C79" s="16" t="s">
        <v>342</v>
      </c>
      <c r="D79" s="20">
        <v>-97</v>
      </c>
      <c r="E79" s="2">
        <f t="shared" si="1"/>
        <v>1.5</v>
      </c>
      <c r="F79" s="2" t="s">
        <v>22</v>
      </c>
      <c r="G79" s="2"/>
      <c r="H79" s="10" t="s">
        <v>351</v>
      </c>
      <c r="I79" s="21" t="s">
        <v>352</v>
      </c>
      <c r="J79" s="4"/>
    </row>
    <row r="80" spans="1:10" ht="18.5" customHeight="1">
      <c r="A80" s="7" t="s">
        <v>55</v>
      </c>
      <c r="B80" s="7"/>
      <c r="C80" s="16" t="s">
        <v>343</v>
      </c>
      <c r="D80" s="20">
        <v>-96</v>
      </c>
      <c r="E80" s="2">
        <f t="shared" si="1"/>
        <v>2</v>
      </c>
      <c r="F80" s="2" t="s">
        <v>22</v>
      </c>
      <c r="G80" s="2"/>
      <c r="H80" s="10" t="s">
        <v>351</v>
      </c>
      <c r="I80" s="21" t="s">
        <v>352</v>
      </c>
      <c r="J80" s="4"/>
    </row>
    <row r="81" spans="1:10" ht="18.5" customHeight="1">
      <c r="A81" s="7" t="s">
        <v>299</v>
      </c>
      <c r="B81" s="7"/>
      <c r="C81" s="16" t="s">
        <v>345</v>
      </c>
      <c r="D81" s="20">
        <v>-78</v>
      </c>
      <c r="E81" s="2">
        <f t="shared" si="1"/>
        <v>11</v>
      </c>
      <c r="F81" s="2" t="s">
        <v>21</v>
      </c>
      <c r="G81" s="2"/>
      <c r="H81" s="10" t="s">
        <v>351</v>
      </c>
      <c r="I81" s="21" t="s">
        <v>352</v>
      </c>
      <c r="J81" s="4"/>
    </row>
    <row r="82" spans="1:10" ht="18.5" customHeight="1">
      <c r="A82" s="7" t="s">
        <v>300</v>
      </c>
      <c r="B82" s="7"/>
      <c r="C82" s="16" t="s">
        <v>344</v>
      </c>
      <c r="D82" s="20">
        <v>-82</v>
      </c>
      <c r="E82" s="2">
        <f t="shared" si="1"/>
        <v>9</v>
      </c>
      <c r="F82" s="2" t="s">
        <v>21</v>
      </c>
      <c r="G82" s="2"/>
      <c r="H82" s="10" t="s">
        <v>351</v>
      </c>
      <c r="I82" s="21" t="s">
        <v>352</v>
      </c>
      <c r="J82" s="4"/>
    </row>
    <row r="83" spans="1:10" ht="18.5" customHeight="1">
      <c r="A83" s="7" t="s">
        <v>79</v>
      </c>
      <c r="B83" s="7"/>
      <c r="C83" s="16" t="s">
        <v>346</v>
      </c>
      <c r="D83" s="20">
        <v>-96</v>
      </c>
      <c r="E83" s="2">
        <f t="shared" si="1"/>
        <v>2</v>
      </c>
      <c r="F83" s="2" t="s">
        <v>21</v>
      </c>
      <c r="G83" s="2"/>
      <c r="H83" s="10" t="s">
        <v>351</v>
      </c>
      <c r="I83" s="21" t="s">
        <v>352</v>
      </c>
      <c r="J83" s="4"/>
    </row>
    <row r="84" spans="1:10" ht="18.5" customHeight="1">
      <c r="A84" s="7" t="s">
        <v>71</v>
      </c>
      <c r="B84" s="7"/>
      <c r="C84" s="16" t="s">
        <v>347</v>
      </c>
      <c r="D84" s="20">
        <v>-98</v>
      </c>
      <c r="E84" s="2">
        <f t="shared" si="1"/>
        <v>1</v>
      </c>
      <c r="F84" s="2" t="s">
        <v>21</v>
      </c>
      <c r="G84" s="2"/>
      <c r="H84" s="10" t="s">
        <v>351</v>
      </c>
      <c r="I84" s="21" t="s">
        <v>352</v>
      </c>
      <c r="J84" s="4"/>
    </row>
    <row r="85" spans="1:10" ht="18.5" customHeight="1">
      <c r="A85" s="7" t="s">
        <v>301</v>
      </c>
      <c r="B85" s="7"/>
      <c r="C85" s="16" t="s">
        <v>348</v>
      </c>
      <c r="D85" s="20">
        <v>-98</v>
      </c>
      <c r="E85" s="2">
        <f t="shared" si="1"/>
        <v>1</v>
      </c>
      <c r="F85" s="2" t="s">
        <v>21</v>
      </c>
      <c r="G85" s="2"/>
      <c r="H85" s="10" t="s">
        <v>351</v>
      </c>
      <c r="I85" s="21" t="s">
        <v>352</v>
      </c>
      <c r="J85" s="4"/>
    </row>
    <row r="86" spans="1:10" ht="18.5" customHeight="1">
      <c r="A86" s="7" t="s">
        <v>302</v>
      </c>
      <c r="B86" s="7"/>
      <c r="C86" s="16" t="s">
        <v>349</v>
      </c>
      <c r="D86" s="20">
        <v>-78</v>
      </c>
      <c r="E86" s="2">
        <f t="shared" si="1"/>
        <v>11</v>
      </c>
      <c r="F86" s="2" t="s">
        <v>21</v>
      </c>
      <c r="G86" s="2"/>
      <c r="H86" s="10" t="s">
        <v>351</v>
      </c>
      <c r="I86" s="21" t="s">
        <v>352</v>
      </c>
      <c r="J86" s="4"/>
    </row>
    <row r="87" spans="1:10" ht="18.5" customHeight="1">
      <c r="A87" s="7" t="s">
        <v>70</v>
      </c>
      <c r="B87" s="7"/>
      <c r="C87" s="16" t="s">
        <v>350</v>
      </c>
      <c r="D87" s="20">
        <v>-88</v>
      </c>
      <c r="E87" s="2">
        <f t="shared" si="1"/>
        <v>6</v>
      </c>
      <c r="F87" s="2" t="s">
        <v>21</v>
      </c>
      <c r="G87" s="2"/>
      <c r="H87" s="10" t="s">
        <v>351</v>
      </c>
      <c r="I87" s="21" t="s">
        <v>352</v>
      </c>
      <c r="J87" s="4"/>
    </row>
    <row r="88" spans="1:10" ht="18.5" customHeight="1">
      <c r="A88" s="7" t="s">
        <v>25</v>
      </c>
      <c r="B88" s="7" t="s">
        <v>204</v>
      </c>
      <c r="C88" s="2" t="s">
        <v>212</v>
      </c>
      <c r="D88" s="20">
        <v>89</v>
      </c>
      <c r="E88" s="2">
        <f t="shared" si="1"/>
        <v>94.5</v>
      </c>
      <c r="F88" s="2" t="s">
        <v>22</v>
      </c>
      <c r="G88" s="2"/>
      <c r="H88" s="10" t="s">
        <v>210</v>
      </c>
      <c r="I88" s="3" t="s">
        <v>209</v>
      </c>
      <c r="J88" s="4"/>
    </row>
    <row r="89" spans="1:10" ht="18.5" customHeight="1">
      <c r="A89" s="7" t="s">
        <v>303</v>
      </c>
      <c r="B89" s="7" t="s">
        <v>205</v>
      </c>
      <c r="C89" s="2" t="s">
        <v>217</v>
      </c>
      <c r="D89" s="20">
        <v>97</v>
      </c>
      <c r="E89" s="2">
        <f t="shared" si="1"/>
        <v>98.5</v>
      </c>
      <c r="F89" s="2" t="s">
        <v>22</v>
      </c>
      <c r="G89" s="2"/>
      <c r="H89" s="10" t="s">
        <v>210</v>
      </c>
      <c r="I89" s="3" t="s">
        <v>209</v>
      </c>
      <c r="J89" s="4"/>
    </row>
    <row r="90" spans="1:10" ht="18.5" customHeight="1">
      <c r="A90" s="7" t="s">
        <v>72</v>
      </c>
      <c r="B90" s="7" t="s">
        <v>206</v>
      </c>
      <c r="C90" s="2" t="s">
        <v>214</v>
      </c>
      <c r="D90" s="20">
        <v>65</v>
      </c>
      <c r="E90" s="2">
        <f t="shared" si="1"/>
        <v>82.5</v>
      </c>
      <c r="F90" s="2" t="s">
        <v>22</v>
      </c>
      <c r="G90" s="2"/>
      <c r="H90" s="10" t="s">
        <v>210</v>
      </c>
      <c r="I90" s="3" t="s">
        <v>209</v>
      </c>
      <c r="J90" s="4"/>
    </row>
    <row r="91" spans="1:10" ht="18.5" customHeight="1">
      <c r="A91" s="7" t="s">
        <v>63</v>
      </c>
      <c r="B91" s="7" t="s">
        <v>207</v>
      </c>
      <c r="C91" s="2" t="s">
        <v>215</v>
      </c>
      <c r="D91" s="20">
        <v>50</v>
      </c>
      <c r="E91" s="2">
        <f t="shared" si="1"/>
        <v>75</v>
      </c>
      <c r="F91" s="2" t="s">
        <v>22</v>
      </c>
      <c r="G91" s="2"/>
      <c r="H91" s="10" t="s">
        <v>210</v>
      </c>
      <c r="I91" s="3" t="s">
        <v>209</v>
      </c>
      <c r="J91" s="4"/>
    </row>
    <row r="92" spans="1:10" ht="18.5" customHeight="1">
      <c r="A92" s="7" t="s">
        <v>310</v>
      </c>
      <c r="B92" s="7" t="s">
        <v>208</v>
      </c>
      <c r="C92" s="2" t="s">
        <v>216</v>
      </c>
      <c r="D92" s="20">
        <v>-60</v>
      </c>
      <c r="E92" s="2">
        <f t="shared" si="1"/>
        <v>20</v>
      </c>
      <c r="F92" s="2" t="s">
        <v>22</v>
      </c>
      <c r="G92" s="2"/>
      <c r="H92" s="10" t="s">
        <v>210</v>
      </c>
      <c r="I92" s="3" t="s">
        <v>209</v>
      </c>
      <c r="J92" s="4"/>
    </row>
    <row r="93" spans="1:10" ht="18.5" customHeight="1">
      <c r="A93" s="7" t="s">
        <v>74</v>
      </c>
      <c r="B93" s="7"/>
      <c r="C93" s="25" t="s">
        <v>325</v>
      </c>
      <c r="D93" s="20">
        <v>88</v>
      </c>
      <c r="E93" s="2">
        <f t="shared" si="1"/>
        <v>94</v>
      </c>
      <c r="F93" s="2" t="s">
        <v>22</v>
      </c>
      <c r="G93" s="2"/>
      <c r="H93" s="10" t="s">
        <v>326</v>
      </c>
      <c r="I93" s="26" t="s">
        <v>327</v>
      </c>
      <c r="J93" s="4"/>
    </row>
    <row r="94" spans="1:10" ht="18.5" customHeight="1">
      <c r="A94" s="7" t="s">
        <v>60</v>
      </c>
      <c r="B94" s="7"/>
      <c r="C94" s="25" t="s">
        <v>338</v>
      </c>
      <c r="D94" s="20">
        <v>-64</v>
      </c>
      <c r="E94" s="2">
        <f t="shared" si="1"/>
        <v>18</v>
      </c>
      <c r="F94" s="2" t="s">
        <v>22</v>
      </c>
      <c r="G94" s="2"/>
      <c r="H94" s="10" t="s">
        <v>339</v>
      </c>
      <c r="I94" s="26" t="s">
        <v>340</v>
      </c>
      <c r="J94" s="4"/>
    </row>
    <row r="95" spans="1:10" ht="18.5" customHeight="1">
      <c r="A95" s="7" t="s">
        <v>311</v>
      </c>
      <c r="B95" s="7" t="s">
        <v>196</v>
      </c>
      <c r="C95" s="2" t="s">
        <v>213</v>
      </c>
      <c r="D95" s="20">
        <v>83</v>
      </c>
      <c r="E95" s="2">
        <f t="shared" si="1"/>
        <v>91.5</v>
      </c>
      <c r="F95" s="2" t="s">
        <v>22</v>
      </c>
      <c r="G95" s="2"/>
      <c r="H95" s="10" t="s">
        <v>195</v>
      </c>
      <c r="I95" s="3" t="s">
        <v>211</v>
      </c>
      <c r="J95" s="4"/>
    </row>
    <row r="96" spans="1:10" ht="18.5" customHeight="1">
      <c r="A96" s="7" t="s">
        <v>312</v>
      </c>
      <c r="B96" s="7" t="s">
        <v>197</v>
      </c>
      <c r="C96" s="2" t="s">
        <v>218</v>
      </c>
      <c r="D96" s="20">
        <v>27</v>
      </c>
      <c r="E96" s="2">
        <f t="shared" si="1"/>
        <v>63.5</v>
      </c>
      <c r="F96" s="2" t="s">
        <v>22</v>
      </c>
      <c r="G96" s="2"/>
      <c r="H96" s="10" t="s">
        <v>195</v>
      </c>
      <c r="I96" s="3" t="s">
        <v>211</v>
      </c>
      <c r="J96" s="4"/>
    </row>
    <row r="97" spans="1:10" ht="18.5" customHeight="1">
      <c r="A97" s="7" t="s">
        <v>319</v>
      </c>
      <c r="B97" s="7" t="s">
        <v>198</v>
      </c>
      <c r="C97" s="16" t="s">
        <v>219</v>
      </c>
      <c r="D97" s="20">
        <v>-16</v>
      </c>
      <c r="E97" s="2">
        <f t="shared" si="1"/>
        <v>42</v>
      </c>
      <c r="F97" s="2" t="s">
        <v>22</v>
      </c>
      <c r="G97" s="2"/>
      <c r="H97" s="10" t="s">
        <v>195</v>
      </c>
      <c r="I97" s="3" t="s">
        <v>211</v>
      </c>
      <c r="J97" s="4"/>
    </row>
    <row r="98" spans="1:10" ht="18.5" customHeight="1">
      <c r="A98" s="7" t="s">
        <v>331</v>
      </c>
      <c r="B98" s="7" t="s">
        <v>199</v>
      </c>
      <c r="C98" s="16" t="s">
        <v>220</v>
      </c>
      <c r="D98" s="20">
        <v>-13</v>
      </c>
      <c r="E98" s="2">
        <f t="shared" si="1"/>
        <v>43.5</v>
      </c>
      <c r="F98" s="2" t="s">
        <v>22</v>
      </c>
      <c r="G98" s="2"/>
      <c r="H98" s="10" t="s">
        <v>195</v>
      </c>
      <c r="I98" s="3" t="s">
        <v>211</v>
      </c>
      <c r="J98" s="4"/>
    </row>
    <row r="99" spans="1:10" ht="18.5" customHeight="1">
      <c r="A99" s="7" t="s">
        <v>332</v>
      </c>
      <c r="B99" s="7" t="s">
        <v>200</v>
      </c>
      <c r="C99" s="16" t="s">
        <v>221</v>
      </c>
      <c r="D99" s="20">
        <v>-62</v>
      </c>
      <c r="E99" s="2">
        <f t="shared" si="1"/>
        <v>19</v>
      </c>
      <c r="F99" s="2" t="s">
        <v>22</v>
      </c>
      <c r="G99" s="2"/>
      <c r="H99" s="10" t="s">
        <v>195</v>
      </c>
      <c r="I99" s="3" t="s">
        <v>211</v>
      </c>
      <c r="J99" s="4"/>
    </row>
    <row r="100" spans="1:10" ht="18.5" customHeight="1">
      <c r="A100" s="7" t="s">
        <v>353</v>
      </c>
      <c r="B100" s="7" t="s">
        <v>201</v>
      </c>
      <c r="C100" s="16" t="s">
        <v>222</v>
      </c>
      <c r="D100" s="20">
        <v>-16</v>
      </c>
      <c r="E100" s="2">
        <f t="shared" si="1"/>
        <v>42</v>
      </c>
      <c r="F100" s="2" t="s">
        <v>22</v>
      </c>
      <c r="G100" s="2"/>
      <c r="H100" s="10" t="s">
        <v>195</v>
      </c>
      <c r="I100" s="3" t="s">
        <v>211</v>
      </c>
      <c r="J100" s="4"/>
    </row>
    <row r="101" spans="1:10" ht="18.5" customHeight="1">
      <c r="A101" s="7" t="s">
        <v>354</v>
      </c>
      <c r="B101" s="7" t="s">
        <v>202</v>
      </c>
      <c r="C101" s="16" t="s">
        <v>223</v>
      </c>
      <c r="D101" s="20">
        <v>-24</v>
      </c>
      <c r="E101" s="2">
        <f t="shared" si="1"/>
        <v>38</v>
      </c>
      <c r="F101" s="2" t="s">
        <v>22</v>
      </c>
      <c r="G101" s="2"/>
      <c r="H101" s="10" t="s">
        <v>195</v>
      </c>
      <c r="I101" s="3" t="s">
        <v>211</v>
      </c>
      <c r="J101" s="4"/>
    </row>
    <row r="102" spans="1:10" ht="18.5" customHeight="1">
      <c r="A102" s="7" t="s">
        <v>355</v>
      </c>
      <c r="B102" s="7" t="s">
        <v>203</v>
      </c>
      <c r="C102" s="16" t="s">
        <v>224</v>
      </c>
      <c r="D102" s="20">
        <v>-82</v>
      </c>
      <c r="E102" s="2">
        <f t="shared" si="1"/>
        <v>9</v>
      </c>
      <c r="F102" s="2" t="s">
        <v>22</v>
      </c>
      <c r="G102" s="2"/>
      <c r="H102" s="10" t="s">
        <v>195</v>
      </c>
      <c r="I102" s="3" t="s">
        <v>211</v>
      </c>
      <c r="J102" s="4"/>
    </row>
    <row r="103" spans="1:10" ht="18.5" customHeight="1">
      <c r="A103" s="7" t="s">
        <v>356</v>
      </c>
      <c r="B103" s="22"/>
      <c r="C103" s="25" t="s">
        <v>328</v>
      </c>
      <c r="D103" s="20">
        <v>88</v>
      </c>
      <c r="E103" s="22">
        <f t="shared" si="1"/>
        <v>94</v>
      </c>
      <c r="F103" s="2" t="s">
        <v>22</v>
      </c>
      <c r="G103" s="2"/>
      <c r="H103" s="10" t="s">
        <v>329</v>
      </c>
      <c r="I103" s="3" t="s">
        <v>330</v>
      </c>
      <c r="J103" s="4"/>
    </row>
    <row r="104" spans="1:10" ht="18.5" customHeight="1">
      <c r="A104" s="7" t="s">
        <v>357</v>
      </c>
      <c r="C104" s="24" t="s">
        <v>318</v>
      </c>
      <c r="D104" s="20">
        <v>-98</v>
      </c>
      <c r="E104" s="1">
        <f t="shared" si="1"/>
        <v>1</v>
      </c>
      <c r="F104" s="2" t="s">
        <v>22</v>
      </c>
      <c r="G104" s="2"/>
      <c r="H104" s="10" t="s">
        <v>320</v>
      </c>
      <c r="I104" s="3" t="s">
        <v>321</v>
      </c>
      <c r="J104" s="4"/>
    </row>
    <row r="105" spans="1:10" ht="18.5" customHeight="1">
      <c r="A105" s="7" t="s">
        <v>363</v>
      </c>
      <c r="C105" s="25" t="s">
        <v>364</v>
      </c>
      <c r="D105" s="20">
        <v>-96</v>
      </c>
      <c r="E105" s="1">
        <f t="shared" si="1"/>
        <v>2</v>
      </c>
      <c r="F105" s="2" t="s">
        <v>365</v>
      </c>
      <c r="G105" s="2"/>
      <c r="H105" s="10" t="s">
        <v>362</v>
      </c>
      <c r="I105" s="3" t="s">
        <v>366</v>
      </c>
      <c r="J105" s="4"/>
    </row>
    <row r="106" spans="1:10" ht="18.5" customHeight="1">
      <c r="A106" s="7"/>
      <c r="B106" s="7"/>
      <c r="C106" s="16"/>
      <c r="D106" s="20"/>
      <c r="F106" s="2"/>
      <c r="G106" s="2"/>
      <c r="H106" s="10"/>
      <c r="I106" s="3"/>
      <c r="J106" s="4"/>
    </row>
    <row r="107" spans="1:10" ht="18.5" customHeight="1">
      <c r="A107" s="7"/>
      <c r="B107" s="7"/>
      <c r="C107" s="2"/>
      <c r="D107" s="2"/>
      <c r="E107" s="2"/>
      <c r="F107" s="2"/>
      <c r="G107" s="2"/>
      <c r="H107" s="10" t="s">
        <v>322</v>
      </c>
      <c r="I107" s="3" t="s">
        <v>14</v>
      </c>
      <c r="J107" s="4"/>
    </row>
    <row r="108" spans="1:10" ht="18.5" customHeight="1">
      <c r="A108" s="7"/>
      <c r="B108" s="7"/>
      <c r="C108" s="2"/>
      <c r="D108" s="2"/>
      <c r="E108" s="2"/>
      <c r="F108" s="2"/>
      <c r="G108" s="2"/>
      <c r="H108" s="8"/>
      <c r="I108" s="3"/>
      <c r="J108" s="4"/>
    </row>
    <row r="109" spans="1:10" ht="18.5" customHeight="1">
      <c r="A109" s="7"/>
      <c r="B109" s="7"/>
      <c r="C109" s="2"/>
      <c r="D109" s="2"/>
      <c r="E109" s="2"/>
      <c r="F109" s="2"/>
      <c r="G109" s="2"/>
      <c r="H109" s="27"/>
      <c r="I109" s="3"/>
      <c r="J109" s="4"/>
    </row>
    <row r="110" spans="1:10" ht="18.5" customHeight="1">
      <c r="A110" s="7"/>
      <c r="B110" s="7"/>
      <c r="C110" s="2"/>
      <c r="D110" s="2"/>
      <c r="E110" s="2"/>
      <c r="F110" s="2"/>
      <c r="G110" s="2"/>
      <c r="I110" s="3"/>
      <c r="J110" s="4"/>
    </row>
    <row r="111" spans="1:10" ht="18.5" customHeight="1">
      <c r="A111" s="7"/>
      <c r="B111" s="7"/>
      <c r="C111" s="2"/>
      <c r="D111" s="2"/>
      <c r="E111" s="2"/>
      <c r="F111" s="2"/>
      <c r="G111" s="2"/>
      <c r="H111" s="9"/>
      <c r="I111" s="3"/>
      <c r="J111" s="4"/>
    </row>
    <row r="112" spans="1:10" ht="18.5" customHeight="1">
      <c r="A112" s="7"/>
      <c r="B112" s="7"/>
      <c r="C112" s="2"/>
      <c r="D112" s="2"/>
      <c r="E112" s="2"/>
      <c r="F112" s="2"/>
      <c r="G112" s="2"/>
      <c r="H112" s="9"/>
      <c r="I112" s="3"/>
      <c r="J112" s="4"/>
    </row>
    <row r="113" spans="1:10" ht="18.5" customHeight="1">
      <c r="A113" s="7"/>
      <c r="B113" s="7"/>
      <c r="C113" s="2"/>
      <c r="D113" s="2"/>
      <c r="E113" s="2"/>
      <c r="F113" s="2"/>
      <c r="G113" s="2"/>
      <c r="H113" s="9"/>
      <c r="I113" s="3"/>
      <c r="J113" s="4"/>
    </row>
    <row r="114" spans="1:10" ht="18.5" customHeight="1">
      <c r="A114" s="7"/>
      <c r="B114" s="7"/>
      <c r="C114" s="2"/>
      <c r="D114" s="2"/>
      <c r="E114" s="2"/>
      <c r="F114" s="2"/>
      <c r="G114" s="2"/>
      <c r="H114" s="9"/>
      <c r="I114" s="3"/>
      <c r="J114" s="4"/>
    </row>
    <row r="115" spans="1:10" ht="18.5" customHeight="1">
      <c r="A115" s="7"/>
      <c r="B115" s="7"/>
      <c r="C115" s="2"/>
      <c r="D115" s="2"/>
      <c r="E115" s="2"/>
      <c r="F115" s="2"/>
      <c r="G115" s="2"/>
      <c r="H115" s="9"/>
      <c r="I115" s="3"/>
      <c r="J115" s="4"/>
    </row>
    <row r="116" spans="1:10" ht="18.5" customHeight="1">
      <c r="A116" s="7"/>
      <c r="B116" s="7"/>
      <c r="C116" s="2"/>
      <c r="D116" s="2"/>
      <c r="E116" s="2"/>
      <c r="F116" s="2"/>
      <c r="G116" s="2"/>
      <c r="H116" s="9"/>
      <c r="I116" s="3"/>
      <c r="J116" s="4"/>
    </row>
    <row r="117" spans="1:10" ht="18.5" customHeight="1">
      <c r="A117" s="7"/>
      <c r="B117" s="7"/>
      <c r="C117" s="2"/>
      <c r="D117" s="2"/>
      <c r="E117" s="2"/>
      <c r="F117" s="2"/>
      <c r="G117" s="2"/>
      <c r="H117" s="9"/>
      <c r="I117" s="3"/>
      <c r="J117" s="4"/>
    </row>
    <row r="118" spans="1:10" ht="18.5" customHeight="1">
      <c r="A118" s="7"/>
      <c r="B118" s="7"/>
      <c r="C118" s="2"/>
      <c r="D118" s="2"/>
      <c r="E118" s="2"/>
      <c r="F118" s="2"/>
      <c r="G118" s="2"/>
      <c r="H118" s="9"/>
      <c r="I118" s="3"/>
      <c r="J118" s="4"/>
    </row>
    <row r="119" spans="1:10" ht="18.5" customHeight="1">
      <c r="A119" s="7"/>
      <c r="B119" s="7"/>
      <c r="C119" s="2"/>
      <c r="D119" s="2"/>
      <c r="E119" s="2"/>
      <c r="F119" s="2"/>
      <c r="G119" s="2"/>
      <c r="H119" s="9"/>
      <c r="I119" s="3"/>
      <c r="J119" s="4"/>
    </row>
    <row r="120" spans="1:10" ht="18.5" customHeight="1">
      <c r="A120" s="7"/>
      <c r="B120" s="7"/>
      <c r="C120" s="2"/>
      <c r="D120" s="2"/>
      <c r="E120" s="2"/>
      <c r="F120" s="2"/>
      <c r="G120" s="2"/>
      <c r="H120" s="9"/>
      <c r="I120" s="3"/>
      <c r="J120" s="4"/>
    </row>
    <row r="121" spans="1:10" ht="18.5" customHeight="1">
      <c r="A121" s="7"/>
      <c r="B121" s="7"/>
      <c r="C121" s="2"/>
      <c r="D121" s="2"/>
      <c r="E121" s="2"/>
      <c r="F121" s="2"/>
      <c r="G121" s="2"/>
      <c r="H121" s="9"/>
      <c r="I121" s="3"/>
      <c r="J121" s="4"/>
    </row>
    <row r="122" spans="1:10" ht="18.5" customHeight="1">
      <c r="A122" s="7"/>
      <c r="B122" s="7"/>
      <c r="C122" s="2"/>
      <c r="D122" s="2"/>
      <c r="E122" s="2"/>
      <c r="F122" s="2"/>
      <c r="G122" s="2"/>
      <c r="H122" s="9"/>
      <c r="I122" s="3"/>
      <c r="J122" s="4"/>
    </row>
    <row r="123" spans="1:10" ht="18.5" customHeight="1">
      <c r="A123" s="7"/>
      <c r="B123" s="7"/>
      <c r="C123" s="2"/>
      <c r="D123" s="2"/>
      <c r="E123" s="2"/>
      <c r="F123" s="2"/>
      <c r="G123" s="2"/>
      <c r="H123" s="9"/>
      <c r="I123" s="3"/>
      <c r="J123" s="4"/>
    </row>
    <row r="124" spans="1:10" ht="18.5" customHeight="1">
      <c r="A124" s="7"/>
      <c r="B124" s="7"/>
      <c r="C124" s="2"/>
      <c r="D124" s="2"/>
      <c r="E124" s="2"/>
      <c r="F124" s="2"/>
      <c r="G124" s="2"/>
      <c r="H124" s="9"/>
      <c r="I124" s="3"/>
      <c r="J124" s="4"/>
    </row>
    <row r="125" spans="1:10" ht="18.5" customHeight="1">
      <c r="A125" s="7"/>
      <c r="B125" s="7"/>
      <c r="C125" s="2"/>
      <c r="D125" s="2"/>
      <c r="E125" s="2"/>
      <c r="F125" s="2"/>
      <c r="G125" s="2"/>
      <c r="H125" s="9"/>
      <c r="I125" s="3"/>
      <c r="J125" s="4"/>
    </row>
    <row r="126" spans="1:10" ht="18.5" customHeight="1">
      <c r="A126" s="7"/>
      <c r="B126" s="7"/>
      <c r="C126" s="2"/>
      <c r="D126" s="2"/>
      <c r="E126" s="2"/>
      <c r="F126" s="2"/>
      <c r="G126" s="2"/>
      <c r="H126" s="9"/>
      <c r="I126" s="3"/>
      <c r="J126" s="4"/>
    </row>
    <row r="127" spans="1:10" ht="18.5" customHeight="1">
      <c r="A127" s="7"/>
      <c r="B127" s="7"/>
      <c r="C127" s="2"/>
      <c r="D127" s="2"/>
      <c r="E127" s="2"/>
      <c r="F127" s="2"/>
      <c r="G127" s="2"/>
      <c r="H127" s="9"/>
      <c r="I127" s="3"/>
      <c r="J127" s="4"/>
    </row>
    <row r="128" spans="1:10" ht="18.5" customHeight="1">
      <c r="A128" s="7"/>
      <c r="B128" s="7"/>
      <c r="C128" s="2"/>
      <c r="D128" s="2"/>
      <c r="E128" s="2"/>
      <c r="F128" s="2"/>
      <c r="G128" s="2"/>
      <c r="H128" s="9"/>
      <c r="I128" s="3"/>
      <c r="J128" s="4"/>
    </row>
  </sheetData>
  <phoneticPr fontId="4"/>
  <hyperlinks>
    <hyperlink ref="H40" r:id="rId1" xr:uid="{40F2D0AA-F0E4-C541-9F00-8912BEA0875A}"/>
    <hyperlink ref="H53" r:id="rId2" tooltip="DOI URL" xr:uid="{6672F601-8AD0-448D-BA41-DFE94F41F5CC}"/>
    <hyperlink ref="H107" r:id="rId3" xr:uid="{9D92F8DB-884A-4B9A-8016-5CBD158A2170}"/>
    <hyperlink ref="H2" r:id="rId4" xr:uid="{78880374-EBCF-41AA-A45D-0889687CB1F1}"/>
    <hyperlink ref="H3:H34" r:id="rId5" display="https://doi.org/10.1021/jo00209a008" xr:uid="{385A8FA3-DA22-47FC-BDB6-3682B6E8F981}"/>
    <hyperlink ref="H41:H52" r:id="rId6" display="https://pubs.acs.org/doi/pdf/10.1021/jo00262a036" xr:uid="{7B1DFBB5-29ED-4C20-A209-F1825D50D38C}"/>
    <hyperlink ref="H54:H71" r:id="rId7" tooltip="DOI URL" display="https://doi.org/10.1021/cr00097a010" xr:uid="{32CC997F-AB21-4A56-8E80-E83B42FBD137}"/>
    <hyperlink ref="H95" r:id="rId8" tooltip="Persistent link using digital object identifier" xr:uid="{CC902D9A-E098-4038-9DA8-5D0CE792017A}"/>
    <hyperlink ref="H88" r:id="rId9" xr:uid="{FC761697-BF8F-4CEB-8103-C5DAFF2539F9}"/>
    <hyperlink ref="H89" r:id="rId10" xr:uid="{B8E71CEB-DB6B-4177-A4C9-E12212CF2973}"/>
    <hyperlink ref="H90" r:id="rId11" xr:uid="{59424313-5977-4C74-96E0-1585ECC37AF0}"/>
    <hyperlink ref="H91" r:id="rId12" xr:uid="{C425E679-3B58-4015-84CA-AE262448D989}"/>
    <hyperlink ref="H92" r:id="rId13" xr:uid="{DC0FC695-D3F5-4791-BE4D-A179EF128C95}"/>
    <hyperlink ref="H96" r:id="rId14" tooltip="Persistent link using digital object identifier" xr:uid="{12A02E94-F9CB-4C28-81F8-E3D8BC13860D}"/>
    <hyperlink ref="H97" r:id="rId15" tooltip="Persistent link using digital object identifier" xr:uid="{5E101F89-7E88-4A6F-B23A-5594CB1E1BDB}"/>
    <hyperlink ref="H98" r:id="rId16" tooltip="Persistent link using digital object identifier" xr:uid="{9C1CE227-4A8C-4785-8A80-26AF82AFFD05}"/>
    <hyperlink ref="H99" r:id="rId17" tooltip="Persistent link using digital object identifier" xr:uid="{3BB2A71E-ADFC-4D51-986A-3193D3DC858B}"/>
    <hyperlink ref="H100" r:id="rId18" tooltip="Persistent link using digital object identifier" xr:uid="{1606DCD1-F4CF-45B2-AD0F-C919B0757B92}"/>
    <hyperlink ref="H101" r:id="rId19" tooltip="Persistent link using digital object identifier" xr:uid="{03CC462C-5B38-4ED4-AB36-3B55FCDBAE73}"/>
    <hyperlink ref="H102" r:id="rId20" tooltip="Persistent link using digital object identifier" xr:uid="{F6DE8E63-406E-416F-A35F-DEE5C07E03EE}"/>
    <hyperlink ref="H72" r:id="rId21" xr:uid="{C267B96D-6024-4F58-BBE8-F154F0E83987}"/>
    <hyperlink ref="H73" r:id="rId22" xr:uid="{DA123586-2548-4F58-9278-7A53F2872DFD}"/>
    <hyperlink ref="H74" r:id="rId23" xr:uid="{9960C360-4A04-459B-B775-6BB1FC9A0777}"/>
    <hyperlink ref="H75" r:id="rId24" xr:uid="{10CCF94B-4FED-4B00-AE71-8F46730DF642}"/>
    <hyperlink ref="H76" r:id="rId25" xr:uid="{3CD9A34F-3A34-4ABD-B2C0-21D3F7B77937}"/>
    <hyperlink ref="H77" r:id="rId26" xr:uid="{39887A90-D33E-490A-AF12-7C31FC159A9B}"/>
    <hyperlink ref="H35" r:id="rId27" xr:uid="{44E67056-E6EB-44C5-A5F9-0FA108E9722C}"/>
    <hyperlink ref="H36" r:id="rId28" xr:uid="{334E63E8-DABE-4C59-A7EF-01A762D086A9}"/>
    <hyperlink ref="H37" r:id="rId29" xr:uid="{293874AA-84A5-4957-A8D4-FC0F642192FE}"/>
    <hyperlink ref="H38" r:id="rId30" xr:uid="{4C07C1C7-3CC9-4A23-AB1A-9DACAA1F96FA}"/>
    <hyperlink ref="H39" r:id="rId31" xr:uid="{AF96DE3D-47F2-4C08-9E69-C8431B5E742B}"/>
    <hyperlink ref="H93" r:id="rId32" tooltip="DOI URL" xr:uid="{344220AB-F8B6-2C49-A5C1-B400CAABAA25}"/>
    <hyperlink ref="H104" r:id="rId33" xr:uid="{23CE8870-A3F5-B544-B604-3B8340AC4FE9}"/>
    <hyperlink ref="H103" r:id="rId34" xr:uid="{9483BD74-0648-914C-91CB-BE0EF926D781}"/>
    <hyperlink ref="H94" r:id="rId35" tooltip="DOI URL" xr:uid="{A12C1D1F-3C96-E54D-97AE-BCADD7FC941D}"/>
    <hyperlink ref="H78" r:id="rId36" tooltip="Persistent link using digital object identifier" xr:uid="{943F6B63-827E-C24C-A673-A16EB2B319B4}"/>
    <hyperlink ref="H79" r:id="rId37" tooltip="Persistent link using digital object identifier" xr:uid="{8250E17B-669B-9F4B-B1B4-E7E538B6580A}"/>
    <hyperlink ref="H80" r:id="rId38" tooltip="Persistent link using digital object identifier" xr:uid="{38429547-2BC0-C24A-88B1-D13AA8D0689E}"/>
    <hyperlink ref="H81" r:id="rId39" tooltip="Persistent link using digital object identifier" xr:uid="{3FA041BC-8B43-164E-A953-ECE103054E77}"/>
    <hyperlink ref="H82" r:id="rId40" tooltip="Persistent link using digital object identifier" xr:uid="{4A06B554-5A8E-B34A-95FB-4A7C0A6BB9B3}"/>
    <hyperlink ref="H83" r:id="rId41" tooltip="Persistent link using digital object identifier" xr:uid="{C4BA70A2-DE67-B940-B2A9-B1AA56B6162D}"/>
    <hyperlink ref="H84" r:id="rId42" tooltip="Persistent link using digital object identifier" xr:uid="{B97EFF35-67AB-1246-973E-17C98032369A}"/>
    <hyperlink ref="H85" r:id="rId43" tooltip="Persistent link using digital object identifier" xr:uid="{FA38A333-D809-ED48-994D-7B74BB175217}"/>
    <hyperlink ref="H86" r:id="rId44" tooltip="Persistent link using digital object identifier" xr:uid="{35F93D3F-4252-4A4B-AEA1-5311AC70EAE9}"/>
    <hyperlink ref="H87" r:id="rId45" tooltip="Persistent link using digital object identifier" xr:uid="{AA92ECC7-FB09-E247-A86D-E41E516480F2}"/>
    <hyperlink ref="H105" r:id="rId46" tooltip="DOI URL" xr:uid="{4352A1FC-A8A4-5443-A126-39E0D4C8F414}"/>
  </hyperlinks>
  <pageMargins left="1" right="1" top="1" bottom="1" header="0.51180555555555496" footer="0.25"/>
  <pageSetup firstPageNumber="0" orientation="portrait" horizontalDpi="300" verticalDpi="300"/>
  <headerFooter>
    <oddFooter>&amp;C&amp;12&amp;P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10868</TotalTime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シート1 - Ru_cat_1127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shimono-masaki-rb@ynu.jp</cp:lastModifiedBy>
  <cp:revision>18</cp:revision>
  <dcterms:created xsi:type="dcterms:W3CDTF">2024-03-18T08:53:05Z</dcterms:created>
  <dcterms:modified xsi:type="dcterms:W3CDTF">2025-04-20T08:00:38Z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